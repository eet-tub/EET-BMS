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vel\Nextcloud\Arbeit\Projekte\STM32_Projekte\Open_BMS\Open_BMS\Hardware\EET_BMS_Layout\bom\"/>
    </mc:Choice>
  </mc:AlternateContent>
  <xr:revisionPtr revIDLastSave="0" documentId="13_ncr:1_{D41147EB-67F9-4154-99C1-AB696993EE04}" xr6:coauthVersionLast="47" xr6:coauthVersionMax="47" xr10:uidLastSave="{00000000-0000-0000-0000-000000000000}"/>
  <bookViews>
    <workbookView xWindow="-120" yWindow="-120" windowWidth="29040" windowHeight="17520" xr2:uid="{85166753-1B09-4F80-A3D3-B99E6B9AA4E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42" i="1" l="1"/>
  <c r="F33" i="1"/>
  <c r="I42" i="1"/>
  <c r="F39" i="1"/>
  <c r="F31" i="1"/>
  <c r="F5" i="1"/>
  <c r="F6" i="1"/>
  <c r="F7" i="1"/>
  <c r="F8" i="1"/>
  <c r="F9" i="1"/>
  <c r="F10" i="1"/>
  <c r="F11" i="1"/>
  <c r="G11" i="1" s="1"/>
  <c r="F12" i="1"/>
  <c r="F13" i="1"/>
  <c r="F14" i="1"/>
  <c r="F15" i="1"/>
  <c r="F16" i="1"/>
  <c r="F17" i="1"/>
  <c r="F18" i="1"/>
  <c r="F19" i="1"/>
  <c r="G19" i="1" s="1"/>
  <c r="F20" i="1"/>
  <c r="G20" i="1" s="1"/>
  <c r="F21" i="1"/>
  <c r="G21" i="1" s="1"/>
  <c r="F22" i="1"/>
  <c r="F23" i="1"/>
  <c r="F24" i="1"/>
  <c r="F25" i="1"/>
  <c r="F26" i="1"/>
  <c r="F27" i="1"/>
  <c r="F28" i="1"/>
  <c r="F29" i="1"/>
  <c r="F30" i="1"/>
  <c r="F34" i="1"/>
  <c r="F35" i="1"/>
  <c r="F36" i="1"/>
  <c r="F37" i="1"/>
  <c r="F38" i="1"/>
  <c r="F2" i="1"/>
  <c r="F3" i="1"/>
  <c r="F4" i="1"/>
  <c r="G4" i="1" s="1"/>
</calcChain>
</file>

<file path=xl/sharedStrings.xml><?xml version="1.0" encoding="utf-8"?>
<sst xmlns="http://schemas.openxmlformats.org/spreadsheetml/2006/main" count="191" uniqueCount="172">
  <si>
    <t>References</t>
  </si>
  <si>
    <t>Value</t>
  </si>
  <si>
    <t>Footprint</t>
  </si>
  <si>
    <t>Quantity</t>
  </si>
  <si>
    <t>100n</t>
  </si>
  <si>
    <t>C_0805_2012Metric</t>
  </si>
  <si>
    <t>1n</t>
  </si>
  <si>
    <t>C14, C19, C20, C21, C22, C23, C24</t>
  </si>
  <si>
    <t>10n</t>
  </si>
  <si>
    <t>C18, C39, C43, C44, C47, C48</t>
  </si>
  <si>
    <t>10uF</t>
  </si>
  <si>
    <t>CP_Radial_D6.3mm_P2.50mm</t>
  </si>
  <si>
    <t>4u7</t>
  </si>
  <si>
    <t>C50, C51, C52</t>
  </si>
  <si>
    <t>2u2</t>
  </si>
  <si>
    <t>C11, C38</t>
  </si>
  <si>
    <t>330n</t>
  </si>
  <si>
    <t>C37, C72</t>
  </si>
  <si>
    <t>1u</t>
  </si>
  <si>
    <t>C45, C46</t>
  </si>
  <si>
    <t>R_0805_2012Metric</t>
  </si>
  <si>
    <t>R20, R28, R34, R35, R36, R45, R47</t>
  </si>
  <si>
    <t>1k</t>
  </si>
  <si>
    <t>R1, R3, R5, R7, R14, R16</t>
  </si>
  <si>
    <t>R2, R4, R6, R8, R13</t>
  </si>
  <si>
    <t>R_1206_3216Metric</t>
  </si>
  <si>
    <t>R9, R10, R11, R12, R37</t>
  </si>
  <si>
    <t>R17, R18, R19, R21, R49</t>
  </si>
  <si>
    <t>33k</t>
  </si>
  <si>
    <t>R31, R46</t>
  </si>
  <si>
    <t>5m</t>
  </si>
  <si>
    <t>R_2512_6332Metric</t>
  </si>
  <si>
    <t>R15</t>
  </si>
  <si>
    <t>5R1</t>
  </si>
  <si>
    <t>R41</t>
  </si>
  <si>
    <t>10k</t>
  </si>
  <si>
    <t>D1, D2, D3, D4</t>
  </si>
  <si>
    <t>LED</t>
  </si>
  <si>
    <t>D_0805_2012Metric</t>
  </si>
  <si>
    <t>3V</t>
  </si>
  <si>
    <t>D_SOD-123</t>
  </si>
  <si>
    <t>U5, U10</t>
  </si>
  <si>
    <t>LF33_TO220</t>
  </si>
  <si>
    <t>TO-220-3_Vertical</t>
  </si>
  <si>
    <t>U1</t>
  </si>
  <si>
    <t>TLE9012DQU</t>
  </si>
  <si>
    <t>U2</t>
  </si>
  <si>
    <t>STISO621</t>
  </si>
  <si>
    <t>SOIC-8_3.9x4.9mm_P1.27mm</t>
  </si>
  <si>
    <t>U4</t>
  </si>
  <si>
    <t>ISO1500</t>
  </si>
  <si>
    <t>SSOP-16_3.9x4.9mm_P0.635mm</t>
  </si>
  <si>
    <t>U6</t>
  </si>
  <si>
    <t>STM32H755ZITx</t>
  </si>
  <si>
    <t>LQFP-144_20x20mm_P0.5mm</t>
  </si>
  <si>
    <t>U8</t>
  </si>
  <si>
    <t>TSC2012</t>
  </si>
  <si>
    <t>Y1</t>
  </si>
  <si>
    <t>Crystal</t>
  </si>
  <si>
    <t>Crystal_SMD_HC49-SD</t>
  </si>
  <si>
    <t>Q1, Q2</t>
  </si>
  <si>
    <t>SUD19P06-60</t>
  </si>
  <si>
    <t>TO-252-2</t>
  </si>
  <si>
    <t>PS2</t>
  </si>
  <si>
    <t>MEE3S0505SC</t>
  </si>
  <si>
    <t>Q3</t>
  </si>
  <si>
    <t>BSS138</t>
  </si>
  <si>
    <t>SOT-23</t>
  </si>
  <si>
    <t>JST_XH_B2B-XH-A_1x02_P2.50mm_Vertical</t>
  </si>
  <si>
    <t>J2</t>
  </si>
  <si>
    <t>Conn_01x07</t>
  </si>
  <si>
    <t>JST_XH_B7B-XH-A_1x07_P2.50mm_Vertical</t>
  </si>
  <si>
    <t>J5</t>
  </si>
  <si>
    <t>Conn_01x04</t>
  </si>
  <si>
    <t>PinHeader_1x04_P2.54mm_Vertical</t>
  </si>
  <si>
    <t>RS485</t>
  </si>
  <si>
    <t>JST_XH_B4B-XH-A_1x04_P2.50mm_Vertical</t>
  </si>
  <si>
    <t>SW_Debug_Connector</t>
  </si>
  <si>
    <t>D5 Diode</t>
  </si>
  <si>
    <t>R22, R23, R24, R25, R26, R27, R29, R30, R32, R33, R48, R52, R53</t>
  </si>
  <si>
    <t>C54, C55, C56, C71</t>
  </si>
  <si>
    <t>R42, R43, R44</t>
  </si>
  <si>
    <t>C15, C16, C17, C25, C26, C27, C28, C29, C30, C32, C33, C34, C35, C36</t>
  </si>
  <si>
    <t>C1, C2, C3, C4, C5, C6, C7, C8, C9, C10, C12, C13, C40, C41, C42, C49, C53, C57, C58, C59, C60, C61, C62, C63, C64, C65, C66, C67, C68, C69, C70, C73, C74, C75, C76, C77, C78, C84</t>
  </si>
  <si>
    <t>27p</t>
  </si>
  <si>
    <t>TQFP-48-1EP_7x7mm_P0.5mm_EP5x5mm</t>
  </si>
  <si>
    <t>For 10x</t>
  </si>
  <si>
    <t>TMP0, TMP1, TMP2</t>
  </si>
  <si>
    <t>TME.eu Price</t>
  </si>
  <si>
    <t>CC0805KPX7R9104</t>
  </si>
  <si>
    <t>CL21B102KBANNNC</t>
  </si>
  <si>
    <t>CC0805KRX7R9103</t>
  </si>
  <si>
    <t>CL21A475KPFNNNG</t>
  </si>
  <si>
    <t>CL21B225KAFNNNE</t>
  </si>
  <si>
    <t>CC0805KKX7R9BB334</t>
  </si>
  <si>
    <t>CC0805KKX5R8BB105</t>
  </si>
  <si>
    <t>PF1J100MNN0511U</t>
  </si>
  <si>
    <t>RFM-0505S</t>
  </si>
  <si>
    <t>3W DCDC Murata getauscht gegen kleinere 1W Variante</t>
  </si>
  <si>
    <t>CRCW080510R0FKTABC</t>
  </si>
  <si>
    <t>SMD0805-470R-1%</t>
  </si>
  <si>
    <t>CRG0805F100R</t>
  </si>
  <si>
    <t>CRCW08051K00FKTABC</t>
  </si>
  <si>
    <t>MAR251202FR005</t>
  </si>
  <si>
    <t>CRCW08050000Z0TABC</t>
  </si>
  <si>
    <t>16.00M-SMDHC49S</t>
  </si>
  <si>
    <t>ERJ6GEYJ5R1V</t>
  </si>
  <si>
    <t>ERJ6ENF1002V</t>
  </si>
  <si>
    <t>FYLS-0805PGC</t>
  </si>
  <si>
    <t>MMSZ4683-TP</t>
  </si>
  <si>
    <t>LF33CV</t>
  </si>
  <si>
    <t>sponsert</t>
  </si>
  <si>
    <t>ADUM1200ARZ</t>
  </si>
  <si>
    <t>THVD1500D</t>
  </si>
  <si>
    <t>TSC2012IDT</t>
  </si>
  <si>
    <t>-------</t>
  </si>
  <si>
    <t>SUD19P06-60-GE3</t>
  </si>
  <si>
    <t>BSS138A-TP</t>
  </si>
  <si>
    <t>B2B-XH-A</t>
  </si>
  <si>
    <t>B7B-XH-A</t>
  </si>
  <si>
    <t>ZL262-4SG</t>
  </si>
  <si>
    <t>J6, J8</t>
  </si>
  <si>
    <t>B4B-XH-A</t>
  </si>
  <si>
    <t>J1, J3, J4, J9</t>
  </si>
  <si>
    <t>J10, J12</t>
  </si>
  <si>
    <t>J13</t>
  </si>
  <si>
    <t>Nr.</t>
  </si>
  <si>
    <t>PinHeader_2x20_P2.54mm_Vertical</t>
  </si>
  <si>
    <t>ZL202-40G</t>
  </si>
  <si>
    <t>ZL262-40DG</t>
  </si>
  <si>
    <t>C0805C270J5GAC</t>
  </si>
  <si>
    <t>HP06-47R1%</t>
  </si>
  <si>
    <t>SMD0805-33K-1%</t>
  </si>
  <si>
    <t>Orderd</t>
  </si>
  <si>
    <t>Ordernumber</t>
  </si>
  <si>
    <t>Euro</t>
  </si>
  <si>
    <t>https://estore.st.com/en/stm32h755zit6-cpn.html</t>
  </si>
  <si>
    <t>https://www.infineon.com/part/tle9012dqu</t>
  </si>
  <si>
    <t>https://www.tme.eu/en/details/0805b104k500ct/mlcc-smd-capacitors/walsin/</t>
  </si>
  <si>
    <t>https://www.tme.eu/en/details/cc0805krx7r9bb103/mlcc-smd-capacitors/yageo/</t>
  </si>
  <si>
    <t>https://www.tme.eu/en/details/pf1j100mnn0511u/tht-electrolytic-capacitors/elite/</t>
  </si>
  <si>
    <t>https://www.tme.eu/en/details/cl21a475kpfnnng/mlcc-smd-capacitors/samsung/</t>
  </si>
  <si>
    <t>https://www.tme.eu/en/details/crg0805f100r/smd-resistors/te-connectivity/1623096-1/</t>
  </si>
  <si>
    <t>https://www.tme.eu/en/details/smd0805-33k-1%25/smd-resistors/royalohm/0805s8f3302t5e/</t>
  </si>
  <si>
    <t>https://www.tme.eu/en/details/smd0805-470r-1%25/smd-resistors/royalohm/0805s8f4700t5e/</t>
  </si>
  <si>
    <t>https://www.tme.eu/en/details/hp06-47r1%25/smd-resistors/royalohm/hp06w2f470jt5e/</t>
  </si>
  <si>
    <t>https://www.tme.eu/en/details/crcw080510r0fktabc/smd-resistors/vishay/</t>
  </si>
  <si>
    <t>https://www.tme.eu/en/details/crcw08051k00fktabc/smd-resistors/vishay/</t>
  </si>
  <si>
    <t>https://www.tme.eu/en/details/c0805c270j5gac/mlcc-smd-capacitors/kemet/c0805c270j5gactu/</t>
  </si>
  <si>
    <t>https://www.tme.eu/en/details/cc0805kkx5r8bb105/mlcc-smd-capacitors/yageo/</t>
  </si>
  <si>
    <t>https://www.tme.eu/en/details/cc0805kkx7r9bb334/mlcc-smd-capacitors/yageo/</t>
  </si>
  <si>
    <t>https://www.tme.eu/en/details/cl21b225kafnnne/mlcc-smd-capacitors/samsung/</t>
  </si>
  <si>
    <t>https://www.tme.eu/en/details/cl21b102kbannnc/mlcc-smd-capacitors/samsung/</t>
  </si>
  <si>
    <t>https://www.tme.eu/en/details/mar251202fr005s/smd-resistors/wayon/</t>
  </si>
  <si>
    <t>https://www.tme.eu/en/details/erj6geyj5r1v/smd-resistors/panasonic/</t>
  </si>
  <si>
    <t>https://www.tme.eu/en/details/erj6enf1002v/smd-resistors/panasonic/</t>
  </si>
  <si>
    <t>https://www.tme.eu/en/details/fyls-0805pgc/smd-colour-leds/foryard/</t>
  </si>
  <si>
    <t>https://www.tme.eu/en/details/mmsz4683-tp/smd-zener-diodes/micro-commercial-components/</t>
  </si>
  <si>
    <t>https://www.tme.eu/en/details/lf33cv/ldo-fixed-voltage-regulators/stmicroelectronics/</t>
  </si>
  <si>
    <t>https://www.tme.eu/en/details/adum1200arz/interfaces-others-integrated-circuits/analog-devices/</t>
  </si>
  <si>
    <t>https://www.tme.eu/en/details/thvd1500d/rs232-rs422-rs485-integr-circ/texas-instruments/</t>
  </si>
  <si>
    <t>https://eu.mouser.com/en/ProductDetail/STMicroelectronics/TSC2012IDT?qs=%252B6g0mu59x7KSqOHhuXDI4w%3D%3D</t>
  </si>
  <si>
    <t>https://www.tme.eu/en/details/16.00m-smdhc49s/quarzresonatoren-smd/yic/</t>
  </si>
  <si>
    <t>https://www.tme.eu/en/details/sud19p06-60-ge3/smd-p-channel-transistors/vishay/</t>
  </si>
  <si>
    <t>https://www.tme.eu/en/details/rfm-0505s/dc-dc-converters/recom/</t>
  </si>
  <si>
    <t>https://www.tme.eu/en/details/bss138a-tp/smd-n-channel-transistors/micro-commercial-components/</t>
  </si>
  <si>
    <t>https://www.tme.eu/en/details/b2b-xh-a/raster-signal-connectors-2-50mm/jst/b2b-xh-a-lf-sn/</t>
  </si>
  <si>
    <t>https://www.tme.eu/en/details/b7b-xh-a/raster-signal-connectors-2-50mm/jst/b7b-xh-a-lf-sn/</t>
  </si>
  <si>
    <t>https://www.tme.eu/en/details/zl262-4sg/pin-headers/connfly/ds1023-1-4s21/</t>
  </si>
  <si>
    <t>https://www.tme.eu/en/details/b4b-xh-a/raster-signal-connectors-2-50mm/jst/b4b-xh-a-lf-sn/</t>
  </si>
  <si>
    <t>https://www.tme.eu/en/details/zl202-40g/pin-headers/connfly/ds1021-2-20sf11-b/</t>
  </si>
  <si>
    <t>https://www.tme.eu/en/details/zl262-40dg/pin-headers/connfly/ds1023-2-20s21/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</si>
</sst>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3" borderId="8" xfId="0" applyFill="1" applyBorder="1" applyAlignment="1">
      <alignment vertical="center"/>
    </xf>
    <xf numFmtId="0" fontId="0" fillId="0" borderId="9" xfId="0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4" borderId="8" xfId="0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me.eu/en/details/crg0805f100r/smd-resistors/te-connectivity/1623096-1/" TargetMode="External"/><Relationship Id="rId18" Type="http://schemas.openxmlformats.org/officeDocument/2006/relationships/hyperlink" Target="https://www.tme.eu/en/details/smd0805-33k-1%25/smd-resistors/royalohm/0805s8f3302t5e/" TargetMode="External"/><Relationship Id="rId26" Type="http://schemas.openxmlformats.org/officeDocument/2006/relationships/hyperlink" Target="https://www.infineon.com/part/tle9012dqu" TargetMode="External"/><Relationship Id="rId39" Type="http://schemas.openxmlformats.org/officeDocument/2006/relationships/printerSettings" Target="../printerSettings/printerSettings1.bin"/><Relationship Id="rId21" Type="http://schemas.openxmlformats.org/officeDocument/2006/relationships/hyperlink" Target="https://www.tme.eu/en/details/erj6geyj5r1v/smd-resistors/panasonic/" TargetMode="External"/><Relationship Id="rId34" Type="http://schemas.openxmlformats.org/officeDocument/2006/relationships/hyperlink" Target="https://www.tme.eu/en/details/b7b-xh-a/raster-signal-connectors-2-50mm/jst/b7b-xh-a-lf-sn/" TargetMode="External"/><Relationship Id="rId7" Type="http://schemas.openxmlformats.org/officeDocument/2006/relationships/hyperlink" Target="https://www.tme.eu/en/details/pf1j100mnn0511u/tht-electrolytic-capacitors/elite/" TargetMode="External"/><Relationship Id="rId12" Type="http://schemas.openxmlformats.org/officeDocument/2006/relationships/hyperlink" Target="https://www.tme.eu/en/details/c0805c270j5gac/mlcc-smd-capacitors/kemet/c0805c270j5gactu/" TargetMode="External"/><Relationship Id="rId17" Type="http://schemas.openxmlformats.org/officeDocument/2006/relationships/hyperlink" Target="https://www.tme.eu/en/details/smd0805-470r-1%25/smd-resistors/royalohm/0805s8f4700t5e/" TargetMode="External"/><Relationship Id="rId25" Type="http://schemas.openxmlformats.org/officeDocument/2006/relationships/hyperlink" Target="https://www.tme.eu/en/details/lf33cv/ldo-fixed-voltage-regulators/stmicroelectronics/" TargetMode="External"/><Relationship Id="rId33" Type="http://schemas.openxmlformats.org/officeDocument/2006/relationships/hyperlink" Target="https://www.tme.eu/en/details/b2b-xh-a/raster-signal-connectors-2-50mm/jst/b2b-xh-a-lf-sn/" TargetMode="External"/><Relationship Id="rId38" Type="http://schemas.openxmlformats.org/officeDocument/2006/relationships/hyperlink" Target="https://www.tme.eu/en/details/zl262-40dg/pin-headers/connfly/ds1023-2-20s21/" TargetMode="External"/><Relationship Id="rId2" Type="http://schemas.openxmlformats.org/officeDocument/2006/relationships/hyperlink" Target="https://www.tme.eu/en/details/adum1200arz/interfaces-others-integrated-circuits/analog-devices/" TargetMode="External"/><Relationship Id="rId16" Type="http://schemas.openxmlformats.org/officeDocument/2006/relationships/hyperlink" Target="https://www.tme.eu/en/details/hp06-47r1%25/smd-resistors/royalohm/hp06w2f470jt5e/" TargetMode="External"/><Relationship Id="rId20" Type="http://schemas.openxmlformats.org/officeDocument/2006/relationships/hyperlink" Target="https://www.tme.eu/en/details/mar251202fr005s/smd-resistors/wayon/" TargetMode="External"/><Relationship Id="rId29" Type="http://schemas.openxmlformats.org/officeDocument/2006/relationships/hyperlink" Target="https://www.tme.eu/en/details/16.00m-smdhc49s/quarzresonatoren-smd/yic/" TargetMode="External"/><Relationship Id="rId1" Type="http://schemas.openxmlformats.org/officeDocument/2006/relationships/hyperlink" Target="https://www.mouser.de/ProductDetail/STMicroelectronics/TSC2012IDT?qs=%252B6g0mu59x7KSqOHhuXDI4w%3D%3D" TargetMode="External"/><Relationship Id="rId6" Type="http://schemas.openxmlformats.org/officeDocument/2006/relationships/hyperlink" Target="https://www.tme.eu/en/details/cc0805krx7r9bb103/mlcc-smd-capacitors/yageo/" TargetMode="External"/><Relationship Id="rId11" Type="http://schemas.openxmlformats.org/officeDocument/2006/relationships/hyperlink" Target="https://www.tme.eu/en/details/cc0805kkx5r8bb105/mlcc-smd-capacitors/yageo/" TargetMode="External"/><Relationship Id="rId24" Type="http://schemas.openxmlformats.org/officeDocument/2006/relationships/hyperlink" Target="https://www.tme.eu/en/details/mmsz4683-tp/smd-zener-diodes/micro-commercial-components/" TargetMode="External"/><Relationship Id="rId32" Type="http://schemas.openxmlformats.org/officeDocument/2006/relationships/hyperlink" Target="https://www.tme.eu/en/details/bss138a-tp/smd-n-channel-transistors/micro-commercial-components/" TargetMode="External"/><Relationship Id="rId37" Type="http://schemas.openxmlformats.org/officeDocument/2006/relationships/hyperlink" Target="https://www.tme.eu/en/details/zl202-40g/pin-headers/connfly/ds1021-2-20sf11-b/" TargetMode="External"/><Relationship Id="rId5" Type="http://schemas.openxmlformats.org/officeDocument/2006/relationships/hyperlink" Target="https://www.tme.eu/en/details/cl21b102kbannnc/mlcc-smd-capacitors/samsung/" TargetMode="External"/><Relationship Id="rId15" Type="http://schemas.openxmlformats.org/officeDocument/2006/relationships/hyperlink" Target="https://www.tme.eu/en/details/crcw080510r0fktabc/smd-resistors/vishay/" TargetMode="External"/><Relationship Id="rId23" Type="http://schemas.openxmlformats.org/officeDocument/2006/relationships/hyperlink" Target="https://www.tme.eu/en/details/fyls-0805pgc/smd-colour-leds/foryard/" TargetMode="External"/><Relationship Id="rId28" Type="http://schemas.openxmlformats.org/officeDocument/2006/relationships/hyperlink" Target="https://eu.mouser.com/en/ProductDetail/STMicroelectronics/TSC2012IDT?qs=%252B6g0mu59x7KSqOHhuXDI4w%3D%3D" TargetMode="External"/><Relationship Id="rId36" Type="http://schemas.openxmlformats.org/officeDocument/2006/relationships/hyperlink" Target="https://www.tme.eu/en/details/b4b-xh-a/raster-signal-connectors-2-50mm/jst/b4b-xh-a-lf-sn/" TargetMode="External"/><Relationship Id="rId10" Type="http://schemas.openxmlformats.org/officeDocument/2006/relationships/hyperlink" Target="https://www.tme.eu/en/details/cc0805kkx7r9bb334/mlcc-smd-capacitors/yageo/" TargetMode="External"/><Relationship Id="rId19" Type="http://schemas.openxmlformats.org/officeDocument/2006/relationships/hyperlink" Target="https://www.tme.eu/en/details/smd0805-33k-1%25/smd-resistors/royalohm/0805s8f3302t5e/" TargetMode="External"/><Relationship Id="rId31" Type="http://schemas.openxmlformats.org/officeDocument/2006/relationships/hyperlink" Target="https://www.tme.eu/en/details/rfm-0505s/dc-dc-converters/recom/" TargetMode="External"/><Relationship Id="rId4" Type="http://schemas.openxmlformats.org/officeDocument/2006/relationships/hyperlink" Target="https://www.tme.eu/en/details/0805b104k500ct/mlcc-smd-capacitors/walsin/" TargetMode="External"/><Relationship Id="rId9" Type="http://schemas.openxmlformats.org/officeDocument/2006/relationships/hyperlink" Target="https://www.tme.eu/en/details/cl21b225kafnnne/mlcc-smd-capacitors/samsung/" TargetMode="External"/><Relationship Id="rId14" Type="http://schemas.openxmlformats.org/officeDocument/2006/relationships/hyperlink" Target="https://www.tme.eu/en/details/crcw08051k00fktabc/smd-resistors/vishay/" TargetMode="External"/><Relationship Id="rId22" Type="http://schemas.openxmlformats.org/officeDocument/2006/relationships/hyperlink" Target="https://www.tme.eu/en/details/erj6enf1002v/smd-resistors/panasonic/" TargetMode="External"/><Relationship Id="rId27" Type="http://schemas.openxmlformats.org/officeDocument/2006/relationships/hyperlink" Target="https://estore.st.com/en/stm32h755zit6-cpn.html" TargetMode="External"/><Relationship Id="rId30" Type="http://schemas.openxmlformats.org/officeDocument/2006/relationships/hyperlink" Target="https://www.tme.eu/en/details/sud19p06-60-ge3/smd-p-channel-transistors/vishay/" TargetMode="External"/><Relationship Id="rId35" Type="http://schemas.openxmlformats.org/officeDocument/2006/relationships/hyperlink" Target="https://www.tme.eu/en/details/zl262-4sg/pin-headers/connfly/ds1023-1-4s21/" TargetMode="External"/><Relationship Id="rId8" Type="http://schemas.openxmlformats.org/officeDocument/2006/relationships/hyperlink" Target="https://www.tme.eu/en/details/cl21a475kpfnnng/mlcc-smd-capacitors/samsung/" TargetMode="External"/><Relationship Id="rId3" Type="http://schemas.openxmlformats.org/officeDocument/2006/relationships/hyperlink" Target="https://www.tme.eu/en/details/thvd1500d/rs232-rs422-rs485-integr-circ/texas-instrumen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BBCA2-90E8-4EBE-B812-6B0A5F4E251A}">
  <dimension ref="A1:U44"/>
  <sheetViews>
    <sheetView tabSelected="1" zoomScale="80" zoomScaleNormal="80" workbookViewId="0">
      <selection activeCell="U27" sqref="U27"/>
    </sheetView>
  </sheetViews>
  <sheetFormatPr baseColWidth="10" defaultColWidth="10.85546875" defaultRowHeight="21" customHeight="1" x14ac:dyDescent="0.25"/>
  <cols>
    <col min="1" max="1" width="4.7109375" style="1" customWidth="1"/>
    <col min="2" max="2" width="62.7109375" style="2" customWidth="1"/>
    <col min="3" max="3" width="18.5703125" style="1" customWidth="1"/>
    <col min="4" max="4" width="32.5703125" style="1" customWidth="1"/>
    <col min="5" max="5" width="8.85546875" style="1" customWidth="1"/>
    <col min="6" max="6" width="8.42578125" style="1" customWidth="1"/>
    <col min="7" max="7" width="13.42578125" style="1" customWidth="1"/>
    <col min="8" max="8" width="21.5703125" style="1" customWidth="1"/>
    <col min="9" max="9" width="13.7109375" style="1" customWidth="1"/>
    <col min="10" max="10" width="1.5703125" style="1" customWidth="1"/>
    <col min="11" max="11" width="10.85546875" style="1"/>
    <col min="12" max="12" width="10.85546875" style="20"/>
    <col min="13" max="16384" width="10.85546875" style="1"/>
  </cols>
  <sheetData>
    <row r="1" spans="1:20" ht="21" customHeight="1" thickBot="1" x14ac:dyDescent="0.3">
      <c r="A1" s="1" t="s">
        <v>126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86</v>
      </c>
      <c r="G1" s="1" t="s">
        <v>133</v>
      </c>
      <c r="H1" s="1" t="s">
        <v>134</v>
      </c>
      <c r="I1" s="1" t="s">
        <v>88</v>
      </c>
      <c r="J1" s="6"/>
      <c r="K1" s="1" t="s">
        <v>135</v>
      </c>
    </row>
    <row r="2" spans="1:20" ht="21" customHeight="1" thickTop="1" x14ac:dyDescent="0.25">
      <c r="A2" s="1">
        <v>1</v>
      </c>
      <c r="B2" s="10" t="s">
        <v>83</v>
      </c>
      <c r="C2" s="11" t="s">
        <v>4</v>
      </c>
      <c r="D2" s="11" t="s">
        <v>5</v>
      </c>
      <c r="E2" s="11">
        <v>38</v>
      </c>
      <c r="F2" s="11">
        <f t="shared" ref="F2:F39" si="0">(E2*10)</f>
        <v>380</v>
      </c>
      <c r="G2" s="11">
        <v>400</v>
      </c>
      <c r="H2" s="11" t="s">
        <v>89</v>
      </c>
      <c r="I2" s="17">
        <v>6.4</v>
      </c>
      <c r="J2" s="5"/>
      <c r="K2" s="1">
        <v>2.12</v>
      </c>
      <c r="L2" s="21" t="s">
        <v>138</v>
      </c>
    </row>
    <row r="3" spans="1:20" ht="21" customHeight="1" x14ac:dyDescent="0.25">
      <c r="A3" s="1">
        <v>2</v>
      </c>
      <c r="B3" s="12" t="s">
        <v>82</v>
      </c>
      <c r="C3" s="1" t="s">
        <v>6</v>
      </c>
      <c r="D3" s="1" t="s">
        <v>5</v>
      </c>
      <c r="E3" s="1">
        <v>14</v>
      </c>
      <c r="F3" s="1">
        <f t="shared" si="0"/>
        <v>140</v>
      </c>
      <c r="G3" s="1">
        <v>200</v>
      </c>
      <c r="H3" s="1" t="s">
        <v>90</v>
      </c>
      <c r="I3" s="15">
        <v>2.2200000000000002</v>
      </c>
      <c r="J3" s="5"/>
      <c r="K3" s="1">
        <v>0.45</v>
      </c>
      <c r="L3" s="21" t="s">
        <v>152</v>
      </c>
    </row>
    <row r="4" spans="1:20" ht="21" customHeight="1" x14ac:dyDescent="0.25">
      <c r="A4" s="1">
        <v>3</v>
      </c>
      <c r="B4" s="12" t="s">
        <v>7</v>
      </c>
      <c r="C4" s="1" t="s">
        <v>8</v>
      </c>
      <c r="D4" s="1" t="s">
        <v>5</v>
      </c>
      <c r="E4" s="1">
        <v>8</v>
      </c>
      <c r="F4" s="1">
        <f>(E4*10)</f>
        <v>80</v>
      </c>
      <c r="G4" s="1">
        <f t="shared" ref="G4:G21" si="1">F4+10</f>
        <v>90</v>
      </c>
      <c r="H4" s="1" t="s">
        <v>91</v>
      </c>
      <c r="I4" s="15">
        <v>2.4</v>
      </c>
      <c r="J4" s="5"/>
      <c r="K4" s="1">
        <v>0.63</v>
      </c>
      <c r="L4" s="21" t="s">
        <v>139</v>
      </c>
    </row>
    <row r="5" spans="1:20" ht="21" customHeight="1" x14ac:dyDescent="0.25">
      <c r="A5" s="1">
        <v>4</v>
      </c>
      <c r="B5" s="12" t="s">
        <v>9</v>
      </c>
      <c r="C5" s="1" t="s">
        <v>10</v>
      </c>
      <c r="D5" s="1" t="s">
        <v>11</v>
      </c>
      <c r="E5" s="1">
        <v>6</v>
      </c>
      <c r="F5" s="1">
        <f t="shared" si="0"/>
        <v>60</v>
      </c>
      <c r="G5" s="1">
        <v>100</v>
      </c>
      <c r="H5" s="1" t="s">
        <v>96</v>
      </c>
      <c r="I5" s="15">
        <v>2.5099999999999998</v>
      </c>
      <c r="J5" s="5"/>
      <c r="K5" s="1">
        <v>0.14000000000000001</v>
      </c>
      <c r="L5" s="21" t="s">
        <v>140</v>
      </c>
    </row>
    <row r="6" spans="1:20" ht="21" customHeight="1" x14ac:dyDescent="0.25">
      <c r="A6" s="1">
        <v>5</v>
      </c>
      <c r="B6" s="12" t="s">
        <v>80</v>
      </c>
      <c r="C6" s="1" t="s">
        <v>12</v>
      </c>
      <c r="D6" s="1" t="s">
        <v>5</v>
      </c>
      <c r="E6" s="1">
        <v>4</v>
      </c>
      <c r="F6" s="1">
        <f t="shared" si="0"/>
        <v>40</v>
      </c>
      <c r="G6" s="1">
        <v>50</v>
      </c>
      <c r="H6" s="1" t="s">
        <v>92</v>
      </c>
      <c r="I6" s="15">
        <v>0.94</v>
      </c>
      <c r="J6" s="5"/>
      <c r="K6" s="1">
        <v>0.37</v>
      </c>
      <c r="L6" s="21" t="s">
        <v>141</v>
      </c>
    </row>
    <row r="7" spans="1:20" ht="21" customHeight="1" x14ac:dyDescent="0.25">
      <c r="A7" s="1">
        <v>6</v>
      </c>
      <c r="B7" s="12" t="s">
        <v>13</v>
      </c>
      <c r="C7" s="1" t="s">
        <v>14</v>
      </c>
      <c r="D7" s="1" t="s">
        <v>5</v>
      </c>
      <c r="E7" s="1">
        <v>3</v>
      </c>
      <c r="F7" s="1">
        <f t="shared" si="0"/>
        <v>30</v>
      </c>
      <c r="G7" s="1">
        <v>50</v>
      </c>
      <c r="H7" s="1" t="s">
        <v>93</v>
      </c>
      <c r="I7" s="15">
        <v>1.58</v>
      </c>
      <c r="J7" s="5"/>
      <c r="K7" s="1">
        <v>0.46</v>
      </c>
      <c r="L7" s="21" t="s">
        <v>151</v>
      </c>
    </row>
    <row r="8" spans="1:20" ht="21" customHeight="1" x14ac:dyDescent="0.25">
      <c r="A8" s="1">
        <v>7</v>
      </c>
      <c r="B8" s="12" t="s">
        <v>15</v>
      </c>
      <c r="C8" s="1" t="s">
        <v>16</v>
      </c>
      <c r="D8" s="1" t="s">
        <v>5</v>
      </c>
      <c r="E8" s="1">
        <v>2</v>
      </c>
      <c r="F8" s="1">
        <f t="shared" si="0"/>
        <v>20</v>
      </c>
      <c r="G8" s="1">
        <v>23</v>
      </c>
      <c r="H8" s="1" t="s">
        <v>94</v>
      </c>
      <c r="I8" s="15">
        <v>1.55</v>
      </c>
      <c r="J8" s="5"/>
      <c r="K8" s="1">
        <v>0.15</v>
      </c>
      <c r="L8" s="21" t="s">
        <v>150</v>
      </c>
    </row>
    <row r="9" spans="1:20" ht="21" customHeight="1" x14ac:dyDescent="0.25">
      <c r="A9" s="1">
        <v>8</v>
      </c>
      <c r="B9" s="12" t="s">
        <v>17</v>
      </c>
      <c r="C9" s="1" t="s">
        <v>18</v>
      </c>
      <c r="D9" s="1" t="s">
        <v>5</v>
      </c>
      <c r="E9" s="1">
        <v>2</v>
      </c>
      <c r="F9" s="1">
        <f t="shared" si="0"/>
        <v>20</v>
      </c>
      <c r="G9" s="1">
        <v>23</v>
      </c>
      <c r="H9" s="1" t="s">
        <v>95</v>
      </c>
      <c r="I9" s="15">
        <v>1.0900000000000001</v>
      </c>
      <c r="J9" s="5"/>
      <c r="K9" s="1">
        <v>0.25</v>
      </c>
      <c r="L9" s="21" t="s">
        <v>149</v>
      </c>
    </row>
    <row r="10" spans="1:20" ht="21" customHeight="1" x14ac:dyDescent="0.25">
      <c r="A10" s="1">
        <v>9</v>
      </c>
      <c r="B10" s="12" t="s">
        <v>19</v>
      </c>
      <c r="C10" s="1" t="s">
        <v>84</v>
      </c>
      <c r="D10" s="1" t="s">
        <v>5</v>
      </c>
      <c r="E10" s="1">
        <v>2</v>
      </c>
      <c r="F10" s="1">
        <f t="shared" si="0"/>
        <v>20</v>
      </c>
      <c r="G10" s="1">
        <v>23</v>
      </c>
      <c r="H10" s="1" t="s">
        <v>130</v>
      </c>
      <c r="I10" s="15">
        <v>0.91</v>
      </c>
      <c r="J10" s="5"/>
      <c r="K10" s="1">
        <v>0.14000000000000001</v>
      </c>
      <c r="L10" s="21" t="s">
        <v>148</v>
      </c>
    </row>
    <row r="11" spans="1:20" ht="21" customHeight="1" x14ac:dyDescent="0.25">
      <c r="A11" s="1">
        <v>10</v>
      </c>
      <c r="B11" s="12" t="s">
        <v>79</v>
      </c>
      <c r="C11" s="1">
        <v>100</v>
      </c>
      <c r="D11" s="1" t="s">
        <v>20</v>
      </c>
      <c r="E11" s="1">
        <v>13</v>
      </c>
      <c r="F11" s="1">
        <f t="shared" si="0"/>
        <v>130</v>
      </c>
      <c r="G11" s="1">
        <f t="shared" si="1"/>
        <v>140</v>
      </c>
      <c r="H11" s="1" t="s">
        <v>101</v>
      </c>
      <c r="I11" s="15">
        <v>1.33</v>
      </c>
      <c r="J11" s="5"/>
      <c r="K11" s="1">
        <v>0.31</v>
      </c>
      <c r="L11" s="21" t="s">
        <v>142</v>
      </c>
    </row>
    <row r="12" spans="1:20" ht="21" customHeight="1" x14ac:dyDescent="0.25">
      <c r="A12" s="1">
        <v>11</v>
      </c>
      <c r="B12" s="12" t="s">
        <v>21</v>
      </c>
      <c r="C12" s="1" t="s">
        <v>22</v>
      </c>
      <c r="D12" s="1" t="s">
        <v>20</v>
      </c>
      <c r="E12" s="1">
        <v>7</v>
      </c>
      <c r="F12" s="1">
        <f t="shared" si="0"/>
        <v>70</v>
      </c>
      <c r="G12" s="1">
        <v>100</v>
      </c>
      <c r="H12" s="1" t="s">
        <v>102</v>
      </c>
      <c r="I12" s="15">
        <v>1.66</v>
      </c>
      <c r="J12" s="5"/>
      <c r="K12" s="1">
        <v>0.04</v>
      </c>
      <c r="L12" s="21" t="s">
        <v>147</v>
      </c>
    </row>
    <row r="13" spans="1:20" ht="21" customHeight="1" x14ac:dyDescent="0.25">
      <c r="A13" s="1">
        <v>12</v>
      </c>
      <c r="B13" s="12" t="s">
        <v>23</v>
      </c>
      <c r="C13" s="1">
        <v>10</v>
      </c>
      <c r="D13" s="1" t="s">
        <v>20</v>
      </c>
      <c r="E13" s="1">
        <v>6</v>
      </c>
      <c r="F13" s="1">
        <f t="shared" si="0"/>
        <v>60</v>
      </c>
      <c r="G13" s="1">
        <v>100</v>
      </c>
      <c r="H13" s="1" t="s">
        <v>99</v>
      </c>
      <c r="I13" s="15">
        <v>1.64</v>
      </c>
      <c r="J13" s="5"/>
      <c r="K13" s="1">
        <v>0.06</v>
      </c>
      <c r="L13" s="21" t="s">
        <v>146</v>
      </c>
    </row>
    <row r="14" spans="1:20" ht="21" customHeight="1" x14ac:dyDescent="0.25">
      <c r="A14" s="1">
        <v>13</v>
      </c>
      <c r="B14" s="18" t="s">
        <v>24</v>
      </c>
      <c r="C14" s="1">
        <v>47</v>
      </c>
      <c r="D14" s="1" t="s">
        <v>25</v>
      </c>
      <c r="E14" s="1">
        <v>5</v>
      </c>
      <c r="F14" s="1">
        <f t="shared" si="0"/>
        <v>50</v>
      </c>
      <c r="G14" s="1">
        <v>100</v>
      </c>
      <c r="H14" s="1" t="s">
        <v>131</v>
      </c>
      <c r="I14" s="15">
        <v>2.95</v>
      </c>
      <c r="J14" s="5"/>
      <c r="K14" s="1">
        <v>0.14000000000000001</v>
      </c>
      <c r="L14" s="21" t="s">
        <v>145</v>
      </c>
    </row>
    <row r="15" spans="1:20" ht="21" customHeight="1" x14ac:dyDescent="0.25">
      <c r="A15" s="1">
        <v>14</v>
      </c>
      <c r="B15" s="12" t="s">
        <v>26</v>
      </c>
      <c r="C15" s="1">
        <v>470</v>
      </c>
      <c r="D15" s="1" t="s">
        <v>20</v>
      </c>
      <c r="E15" s="1">
        <v>5</v>
      </c>
      <c r="F15" s="1">
        <f t="shared" si="0"/>
        <v>50</v>
      </c>
      <c r="G15" s="1">
        <v>100</v>
      </c>
      <c r="H15" s="1" t="s">
        <v>100</v>
      </c>
      <c r="I15" s="15">
        <v>1.46</v>
      </c>
      <c r="J15" s="5"/>
      <c r="K15" s="1">
        <v>7.0000000000000007E-2</v>
      </c>
      <c r="L15" s="21" t="s">
        <v>144</v>
      </c>
      <c r="T15" s="19"/>
    </row>
    <row r="16" spans="1:20" ht="21" customHeight="1" x14ac:dyDescent="0.25">
      <c r="A16" s="1">
        <v>15</v>
      </c>
      <c r="B16" s="12" t="s">
        <v>27</v>
      </c>
      <c r="C16" s="1" t="s">
        <v>28</v>
      </c>
      <c r="D16" s="1" t="s">
        <v>20</v>
      </c>
      <c r="E16" s="1">
        <v>5</v>
      </c>
      <c r="F16" s="1">
        <f t="shared" si="0"/>
        <v>50</v>
      </c>
      <c r="G16" s="1">
        <v>100</v>
      </c>
      <c r="H16" s="1" t="s">
        <v>132</v>
      </c>
      <c r="I16" s="15">
        <v>1.55</v>
      </c>
      <c r="J16" s="5"/>
      <c r="K16" s="1">
        <v>7.0000000000000007E-2</v>
      </c>
      <c r="L16" s="21" t="s">
        <v>143</v>
      </c>
      <c r="T16" s="19"/>
    </row>
    <row r="17" spans="1:21" ht="21" customHeight="1" x14ac:dyDescent="0.25">
      <c r="A17" s="1">
        <v>16</v>
      </c>
      <c r="B17" s="12" t="s">
        <v>81</v>
      </c>
      <c r="C17" s="1">
        <v>0</v>
      </c>
      <c r="D17" s="1" t="s">
        <v>20</v>
      </c>
      <c r="E17" s="1">
        <v>4</v>
      </c>
      <c r="F17" s="1">
        <f t="shared" si="0"/>
        <v>40</v>
      </c>
      <c r="G17" s="4">
        <v>100</v>
      </c>
      <c r="H17" s="1" t="s">
        <v>104</v>
      </c>
      <c r="I17" s="15">
        <v>1.1399999999999999</v>
      </c>
      <c r="J17" s="5"/>
      <c r="K17" s="1">
        <v>0.04</v>
      </c>
      <c r="L17" s="21" t="s">
        <v>143</v>
      </c>
    </row>
    <row r="18" spans="1:21" ht="21" customHeight="1" x14ac:dyDescent="0.25">
      <c r="A18" s="1">
        <v>17</v>
      </c>
      <c r="B18" s="12" t="s">
        <v>29</v>
      </c>
      <c r="C18" s="1" t="s">
        <v>30</v>
      </c>
      <c r="D18" s="1" t="s">
        <v>31</v>
      </c>
      <c r="E18" s="1">
        <v>2</v>
      </c>
      <c r="F18" s="1">
        <f t="shared" si="0"/>
        <v>20</v>
      </c>
      <c r="G18" s="4">
        <v>25</v>
      </c>
      <c r="H18" s="1" t="s">
        <v>103</v>
      </c>
      <c r="I18" s="15">
        <v>1.62</v>
      </c>
      <c r="J18" s="5"/>
      <c r="K18" s="1">
        <v>0.32</v>
      </c>
      <c r="L18" s="21" t="s">
        <v>153</v>
      </c>
      <c r="U18" s="20"/>
    </row>
    <row r="19" spans="1:21" ht="21" customHeight="1" x14ac:dyDescent="0.25">
      <c r="A19" s="1">
        <v>19</v>
      </c>
      <c r="B19" s="12" t="s">
        <v>32</v>
      </c>
      <c r="C19" s="1" t="s">
        <v>33</v>
      </c>
      <c r="D19" s="1" t="s">
        <v>20</v>
      </c>
      <c r="E19" s="1">
        <v>1</v>
      </c>
      <c r="F19" s="1">
        <f t="shared" si="0"/>
        <v>10</v>
      </c>
      <c r="G19" s="4">
        <f t="shared" si="1"/>
        <v>20</v>
      </c>
      <c r="H19" s="1" t="s">
        <v>106</v>
      </c>
      <c r="I19" s="15">
        <v>0.43</v>
      </c>
      <c r="J19" s="5"/>
      <c r="K19" s="1">
        <v>0.08</v>
      </c>
      <c r="L19" s="21" t="s">
        <v>154</v>
      </c>
    </row>
    <row r="20" spans="1:21" ht="21" customHeight="1" x14ac:dyDescent="0.25">
      <c r="A20" s="1">
        <v>20</v>
      </c>
      <c r="B20" s="12" t="s">
        <v>34</v>
      </c>
      <c r="C20" s="1" t="s">
        <v>35</v>
      </c>
      <c r="D20" s="1" t="s">
        <v>20</v>
      </c>
      <c r="E20" s="1">
        <v>1</v>
      </c>
      <c r="F20" s="1">
        <f t="shared" si="0"/>
        <v>10</v>
      </c>
      <c r="G20" s="4">
        <f t="shared" si="1"/>
        <v>20</v>
      </c>
      <c r="H20" s="1" t="s">
        <v>107</v>
      </c>
      <c r="I20" s="15">
        <v>0.74</v>
      </c>
      <c r="J20" s="5"/>
      <c r="K20" s="1">
        <v>0.12</v>
      </c>
      <c r="L20" s="21" t="s">
        <v>155</v>
      </c>
    </row>
    <row r="21" spans="1:21" ht="21" customHeight="1" x14ac:dyDescent="0.25">
      <c r="A21" s="1">
        <v>21</v>
      </c>
      <c r="B21" s="12" t="s">
        <v>36</v>
      </c>
      <c r="C21" s="1" t="s">
        <v>37</v>
      </c>
      <c r="D21" s="1" t="s">
        <v>38</v>
      </c>
      <c r="E21" s="1">
        <v>4</v>
      </c>
      <c r="F21" s="1">
        <f t="shared" si="0"/>
        <v>40</v>
      </c>
      <c r="G21" s="1">
        <f t="shared" si="1"/>
        <v>50</v>
      </c>
      <c r="H21" s="1" t="s">
        <v>108</v>
      </c>
      <c r="I21" s="15">
        <v>1.7</v>
      </c>
      <c r="J21" s="5"/>
      <c r="K21" s="1">
        <v>0.34</v>
      </c>
      <c r="L21" s="21" t="s">
        <v>156</v>
      </c>
    </row>
    <row r="22" spans="1:21" ht="21" customHeight="1" x14ac:dyDescent="0.25">
      <c r="A22" s="1">
        <v>22</v>
      </c>
      <c r="B22" s="12" t="s">
        <v>78</v>
      </c>
      <c r="C22" s="1" t="s">
        <v>39</v>
      </c>
      <c r="D22" s="1" t="s">
        <v>40</v>
      </c>
      <c r="E22" s="1">
        <v>1</v>
      </c>
      <c r="F22" s="1">
        <f t="shared" si="0"/>
        <v>10</v>
      </c>
      <c r="G22" s="4">
        <v>25</v>
      </c>
      <c r="H22" s="1" t="s">
        <v>109</v>
      </c>
      <c r="I22" s="15">
        <v>0.74</v>
      </c>
      <c r="J22" s="5"/>
      <c r="K22" s="1">
        <v>0.08</v>
      </c>
      <c r="L22" s="21" t="s">
        <v>157</v>
      </c>
    </row>
    <row r="23" spans="1:21" ht="21" customHeight="1" x14ac:dyDescent="0.25">
      <c r="A23" s="1">
        <v>24</v>
      </c>
      <c r="B23" s="12" t="s">
        <v>41</v>
      </c>
      <c r="C23" s="1" t="s">
        <v>42</v>
      </c>
      <c r="D23" s="1" t="s">
        <v>43</v>
      </c>
      <c r="E23" s="1">
        <v>2</v>
      </c>
      <c r="F23" s="1">
        <f t="shared" si="0"/>
        <v>20</v>
      </c>
      <c r="G23" s="1">
        <v>20</v>
      </c>
      <c r="H23" s="1" t="s">
        <v>110</v>
      </c>
      <c r="I23" s="15">
        <v>16.899999999999999</v>
      </c>
      <c r="J23" s="5"/>
      <c r="K23" s="1">
        <v>2.0499999999999998</v>
      </c>
      <c r="L23" s="21" t="s">
        <v>158</v>
      </c>
    </row>
    <row r="24" spans="1:21" ht="21" customHeight="1" x14ac:dyDescent="0.25">
      <c r="A24" s="1">
        <v>25</v>
      </c>
      <c r="B24" s="12" t="s">
        <v>44</v>
      </c>
      <c r="C24" s="1" t="s">
        <v>45</v>
      </c>
      <c r="D24" s="1" t="s">
        <v>85</v>
      </c>
      <c r="E24" s="1">
        <v>1</v>
      </c>
      <c r="F24" s="1">
        <f t="shared" si="0"/>
        <v>10</v>
      </c>
      <c r="G24" s="1">
        <v>10</v>
      </c>
      <c r="H24" s="1" t="s">
        <v>111</v>
      </c>
      <c r="I24" s="5" t="s">
        <v>115</v>
      </c>
      <c r="J24" s="5"/>
      <c r="K24" s="1">
        <v>7.14</v>
      </c>
      <c r="L24" s="21" t="s">
        <v>137</v>
      </c>
    </row>
    <row r="25" spans="1:21" ht="21" customHeight="1" x14ac:dyDescent="0.25">
      <c r="A25" s="1">
        <v>26</v>
      </c>
      <c r="B25" s="12" t="s">
        <v>46</v>
      </c>
      <c r="C25" s="1" t="s">
        <v>47</v>
      </c>
      <c r="D25" s="1" t="s">
        <v>48</v>
      </c>
      <c r="E25" s="1">
        <v>1</v>
      </c>
      <c r="F25" s="1">
        <f t="shared" si="0"/>
        <v>10</v>
      </c>
      <c r="G25" s="1">
        <v>10</v>
      </c>
      <c r="H25" s="1" t="s">
        <v>112</v>
      </c>
      <c r="I25" s="15">
        <v>15.5</v>
      </c>
      <c r="J25" s="5"/>
      <c r="K25" s="1">
        <v>3.9</v>
      </c>
      <c r="L25" s="21" t="s">
        <v>159</v>
      </c>
    </row>
    <row r="26" spans="1:21" ht="21" customHeight="1" x14ac:dyDescent="0.25">
      <c r="A26" s="1">
        <v>28</v>
      </c>
      <c r="B26" s="12" t="s">
        <v>49</v>
      </c>
      <c r="C26" s="1" t="s">
        <v>50</v>
      </c>
      <c r="D26" s="1" t="s">
        <v>51</v>
      </c>
      <c r="E26" s="1">
        <v>1</v>
      </c>
      <c r="F26" s="1">
        <f t="shared" si="0"/>
        <v>10</v>
      </c>
      <c r="G26" s="1">
        <v>10</v>
      </c>
      <c r="H26" s="1" t="s">
        <v>113</v>
      </c>
      <c r="I26" s="15">
        <v>14.9</v>
      </c>
      <c r="J26" s="5"/>
      <c r="K26" s="1">
        <v>0.84</v>
      </c>
      <c r="L26" s="21" t="s">
        <v>160</v>
      </c>
    </row>
    <row r="27" spans="1:21" ht="21" customHeight="1" x14ac:dyDescent="0.25">
      <c r="A27" s="1">
        <v>29</v>
      </c>
      <c r="B27" s="12" t="s">
        <v>52</v>
      </c>
      <c r="C27" s="1" t="s">
        <v>53</v>
      </c>
      <c r="D27" s="1" t="s">
        <v>54</v>
      </c>
      <c r="E27" s="1">
        <v>1</v>
      </c>
      <c r="F27" s="1">
        <f t="shared" si="0"/>
        <v>10</v>
      </c>
      <c r="G27" s="1">
        <v>10</v>
      </c>
      <c r="H27" s="1" t="s">
        <v>111</v>
      </c>
      <c r="I27" s="5" t="s">
        <v>115</v>
      </c>
      <c r="J27" s="5"/>
      <c r="K27" s="1">
        <v>20.04</v>
      </c>
      <c r="L27" s="21" t="s">
        <v>136</v>
      </c>
    </row>
    <row r="28" spans="1:21" ht="21" customHeight="1" x14ac:dyDescent="0.25">
      <c r="A28" s="3">
        <v>30</v>
      </c>
      <c r="B28" s="13" t="s">
        <v>55</v>
      </c>
      <c r="C28" s="3" t="s">
        <v>56</v>
      </c>
      <c r="D28" s="3" t="s">
        <v>48</v>
      </c>
      <c r="E28" s="3">
        <v>1</v>
      </c>
      <c r="F28" s="3">
        <f t="shared" si="0"/>
        <v>10</v>
      </c>
      <c r="G28" s="3">
        <v>13</v>
      </c>
      <c r="H28" s="3" t="s">
        <v>114</v>
      </c>
      <c r="I28" s="15">
        <v>12.7</v>
      </c>
      <c r="J28" s="5"/>
      <c r="K28" s="1">
        <v>1.82</v>
      </c>
      <c r="L28" s="21" t="s">
        <v>161</v>
      </c>
    </row>
    <row r="29" spans="1:21" ht="21" customHeight="1" x14ac:dyDescent="0.25">
      <c r="A29" s="1">
        <v>32</v>
      </c>
      <c r="B29" s="12" t="s">
        <v>57</v>
      </c>
      <c r="C29" s="1" t="s">
        <v>58</v>
      </c>
      <c r="D29" s="1" t="s">
        <v>59</v>
      </c>
      <c r="E29" s="1">
        <v>1</v>
      </c>
      <c r="F29" s="1">
        <f t="shared" si="0"/>
        <v>10</v>
      </c>
      <c r="G29" s="1">
        <v>10</v>
      </c>
      <c r="H29" s="1" t="s">
        <v>105</v>
      </c>
      <c r="I29" s="15">
        <v>2.35</v>
      </c>
      <c r="J29" s="5"/>
      <c r="K29" s="1">
        <v>0.41</v>
      </c>
      <c r="L29" s="21" t="s">
        <v>162</v>
      </c>
    </row>
    <row r="30" spans="1:21" ht="21" customHeight="1" x14ac:dyDescent="0.25">
      <c r="A30" s="1">
        <v>34</v>
      </c>
      <c r="B30" s="12" t="s">
        <v>60</v>
      </c>
      <c r="C30" s="1" t="s">
        <v>61</v>
      </c>
      <c r="D30" s="1" t="s">
        <v>62</v>
      </c>
      <c r="E30" s="1">
        <v>2</v>
      </c>
      <c r="F30" s="1">
        <f t="shared" si="0"/>
        <v>20</v>
      </c>
      <c r="G30" s="1">
        <v>20</v>
      </c>
      <c r="H30" s="1" t="s">
        <v>116</v>
      </c>
      <c r="I30" s="15">
        <v>15.86</v>
      </c>
      <c r="J30" s="5"/>
      <c r="K30" s="1">
        <v>2.0699999999999998</v>
      </c>
      <c r="L30" s="21" t="s">
        <v>163</v>
      </c>
    </row>
    <row r="31" spans="1:21" ht="21" customHeight="1" x14ac:dyDescent="0.25">
      <c r="A31" s="22">
        <v>35</v>
      </c>
      <c r="B31" s="24" t="s">
        <v>63</v>
      </c>
      <c r="C31" s="22" t="s">
        <v>64</v>
      </c>
      <c r="D31" s="25" t="s">
        <v>98</v>
      </c>
      <c r="E31" s="22">
        <v>1</v>
      </c>
      <c r="F31" s="22">
        <f t="shared" si="0"/>
        <v>10</v>
      </c>
      <c r="G31" s="22">
        <v>10</v>
      </c>
      <c r="H31" s="22" t="s">
        <v>97</v>
      </c>
      <c r="I31" s="23">
        <v>16.399999999999999</v>
      </c>
      <c r="J31" s="5"/>
      <c r="K31" s="1">
        <v>1.64</v>
      </c>
      <c r="L31" s="21" t="s">
        <v>164</v>
      </c>
    </row>
    <row r="32" spans="1:21" ht="21" customHeight="1" x14ac:dyDescent="0.25">
      <c r="A32" s="22"/>
      <c r="B32" s="24"/>
      <c r="C32" s="22"/>
      <c r="D32" s="25"/>
      <c r="E32" s="22"/>
      <c r="F32" s="22"/>
      <c r="G32" s="22"/>
      <c r="H32" s="22"/>
      <c r="I32" s="23"/>
      <c r="J32" s="5"/>
    </row>
    <row r="33" spans="1:12" ht="21" customHeight="1" x14ac:dyDescent="0.25">
      <c r="A33" s="1">
        <v>36</v>
      </c>
      <c r="B33" s="12" t="s">
        <v>65</v>
      </c>
      <c r="C33" s="1" t="s">
        <v>66</v>
      </c>
      <c r="D33" s="1" t="s">
        <v>67</v>
      </c>
      <c r="E33" s="1">
        <v>2</v>
      </c>
      <c r="F33" s="1">
        <f>(E33*10)</f>
        <v>20</v>
      </c>
      <c r="G33" s="1">
        <v>25</v>
      </c>
      <c r="H33" s="1" t="s">
        <v>117</v>
      </c>
      <c r="I33" s="15">
        <v>0.55000000000000004</v>
      </c>
      <c r="J33" s="5"/>
      <c r="K33" s="1">
        <v>0.1</v>
      </c>
      <c r="L33" s="21" t="s">
        <v>165</v>
      </c>
    </row>
    <row r="34" spans="1:12" ht="21" customHeight="1" x14ac:dyDescent="0.25">
      <c r="A34" s="1">
        <v>37</v>
      </c>
      <c r="B34" s="12" t="s">
        <v>123</v>
      </c>
      <c r="C34" s="1" t="s">
        <v>87</v>
      </c>
      <c r="D34" s="1" t="s">
        <v>68</v>
      </c>
      <c r="E34" s="1">
        <v>4</v>
      </c>
      <c r="F34" s="1">
        <f t="shared" si="0"/>
        <v>40</v>
      </c>
      <c r="G34" s="1">
        <v>50</v>
      </c>
      <c r="H34" s="1" t="s">
        <v>118</v>
      </c>
      <c r="I34" s="15">
        <v>5</v>
      </c>
      <c r="J34" s="5"/>
      <c r="K34" s="1">
        <v>0.32</v>
      </c>
      <c r="L34" s="21" t="s">
        <v>166</v>
      </c>
    </row>
    <row r="35" spans="1:12" ht="21" customHeight="1" x14ac:dyDescent="0.25">
      <c r="A35" s="1">
        <v>38</v>
      </c>
      <c r="B35" s="12" t="s">
        <v>69</v>
      </c>
      <c r="C35" s="1" t="s">
        <v>70</v>
      </c>
      <c r="D35" s="1" t="s">
        <v>71</v>
      </c>
      <c r="E35" s="1">
        <v>1</v>
      </c>
      <c r="F35" s="1">
        <f t="shared" si="0"/>
        <v>10</v>
      </c>
      <c r="G35" s="1">
        <v>11</v>
      </c>
      <c r="H35" s="1" t="s">
        <v>119</v>
      </c>
      <c r="I35" s="15">
        <v>3.42</v>
      </c>
      <c r="J35" s="5"/>
      <c r="K35" s="1">
        <v>0.16</v>
      </c>
      <c r="L35" s="21" t="s">
        <v>167</v>
      </c>
    </row>
    <row r="36" spans="1:12" ht="21" customHeight="1" x14ac:dyDescent="0.25">
      <c r="A36" s="1">
        <v>41</v>
      </c>
      <c r="B36" s="12" t="s">
        <v>72</v>
      </c>
      <c r="C36" s="1" t="s">
        <v>73</v>
      </c>
      <c r="D36" s="1" t="s">
        <v>74</v>
      </c>
      <c r="E36" s="1">
        <v>1</v>
      </c>
      <c r="F36" s="1">
        <f t="shared" si="0"/>
        <v>10</v>
      </c>
      <c r="G36" s="1">
        <v>10</v>
      </c>
      <c r="H36" s="1" t="s">
        <v>120</v>
      </c>
      <c r="I36" s="15">
        <v>0.72</v>
      </c>
      <c r="J36" s="5"/>
      <c r="K36" s="1">
        <v>7.0000000000000007E-2</v>
      </c>
      <c r="L36" s="21" t="s">
        <v>168</v>
      </c>
    </row>
    <row r="37" spans="1:12" ht="21" customHeight="1" x14ac:dyDescent="0.25">
      <c r="A37" s="1">
        <v>42</v>
      </c>
      <c r="B37" s="12" t="s">
        <v>121</v>
      </c>
      <c r="C37" s="1" t="s">
        <v>75</v>
      </c>
      <c r="D37" s="1" t="s">
        <v>76</v>
      </c>
      <c r="E37" s="1">
        <v>2</v>
      </c>
      <c r="F37" s="1">
        <f t="shared" si="0"/>
        <v>20</v>
      </c>
      <c r="G37" s="1">
        <v>21</v>
      </c>
      <c r="H37" s="1" t="s">
        <v>122</v>
      </c>
      <c r="I37" s="15">
        <v>3.49</v>
      </c>
      <c r="J37" s="5"/>
      <c r="K37" s="1">
        <v>0.23</v>
      </c>
      <c r="L37" s="21" t="s">
        <v>169</v>
      </c>
    </row>
    <row r="38" spans="1:12" ht="21" customHeight="1" x14ac:dyDescent="0.25">
      <c r="A38" s="1">
        <v>46</v>
      </c>
      <c r="B38" s="12" t="s">
        <v>124</v>
      </c>
      <c r="C38" s="1" t="s">
        <v>77</v>
      </c>
      <c r="D38" s="1" t="s">
        <v>127</v>
      </c>
      <c r="E38" s="1">
        <v>2.5</v>
      </c>
      <c r="F38" s="1">
        <f t="shared" si="0"/>
        <v>25</v>
      </c>
      <c r="G38" s="1">
        <v>30</v>
      </c>
      <c r="H38" s="1" t="s">
        <v>128</v>
      </c>
      <c r="I38" s="15">
        <v>8.91</v>
      </c>
      <c r="J38" s="5"/>
      <c r="K38" s="1">
        <v>0.6</v>
      </c>
      <c r="L38" s="21" t="s">
        <v>170</v>
      </c>
    </row>
    <row r="39" spans="1:12" ht="21" customHeight="1" thickBot="1" x14ac:dyDescent="0.3">
      <c r="A39" s="1">
        <v>48</v>
      </c>
      <c r="B39" s="14" t="s">
        <v>125</v>
      </c>
      <c r="C39" s="6"/>
      <c r="D39" s="6" t="s">
        <v>127</v>
      </c>
      <c r="E39" s="6">
        <v>2</v>
      </c>
      <c r="F39" s="6">
        <f t="shared" si="0"/>
        <v>20</v>
      </c>
      <c r="G39" s="6">
        <v>22</v>
      </c>
      <c r="H39" s="6" t="s">
        <v>129</v>
      </c>
      <c r="I39" s="16">
        <v>6.78</v>
      </c>
      <c r="J39" s="5"/>
      <c r="K39" s="1">
        <v>0.39</v>
      </c>
      <c r="L39" s="21" t="s">
        <v>171</v>
      </c>
    </row>
    <row r="40" spans="1:12" ht="21" customHeight="1" thickTop="1" x14ac:dyDescent="0.25">
      <c r="J40" s="5"/>
    </row>
    <row r="41" spans="1:12" ht="21" customHeight="1" thickBot="1" x14ac:dyDescent="0.3">
      <c r="J41" s="5"/>
    </row>
    <row r="42" spans="1:12" ht="21" customHeight="1" thickTop="1" thickBot="1" x14ac:dyDescent="0.3">
      <c r="I42" s="9">
        <f>SUM(I2:I39)</f>
        <v>160.04000000000002</v>
      </c>
      <c r="J42" s="5"/>
      <c r="K42" s="9">
        <f>SUM(K2:K39)</f>
        <v>48.159999999999989</v>
      </c>
    </row>
    <row r="43" spans="1:12" ht="21" customHeight="1" thickTop="1" thickBot="1" x14ac:dyDescent="0.3">
      <c r="A43" s="6"/>
      <c r="B43" s="7"/>
      <c r="C43" s="6"/>
      <c r="D43" s="6"/>
      <c r="E43" s="6"/>
      <c r="F43" s="6"/>
      <c r="G43" s="6"/>
      <c r="H43" s="6"/>
      <c r="I43" s="6"/>
      <c r="J43" s="8"/>
    </row>
    <row r="44" spans="1:12" ht="21" customHeight="1" thickTop="1" x14ac:dyDescent="0.25"/>
  </sheetData>
  <mergeCells count="9">
    <mergeCell ref="G31:G32"/>
    <mergeCell ref="H31:H32"/>
    <mergeCell ref="I31:I32"/>
    <mergeCell ref="B31:B32"/>
    <mergeCell ref="A31:A32"/>
    <mergeCell ref="D31:D32"/>
    <mergeCell ref="C31:C32"/>
    <mergeCell ref="E31:E32"/>
    <mergeCell ref="F31:F32"/>
  </mergeCells>
  <hyperlinks>
    <hyperlink ref="H28" r:id="rId1" display="https://www.mouser.de/ProductDetail/STMicroelectronics/TSC2012IDT?qs=%252B6g0mu59x7KSqOHhuXDI4w%3D%3D" xr:uid="{09362BA6-A9EB-4F51-AF68-921D4861D3C9}"/>
    <hyperlink ref="L25" r:id="rId2" xr:uid="{1304E72E-0C1D-4C2F-BBA2-99E6DD255403}"/>
    <hyperlink ref="L26" r:id="rId3" xr:uid="{56EBBF5D-81A9-4D52-8480-A82B49AEB529}"/>
    <hyperlink ref="L2" r:id="rId4" xr:uid="{A4A9B1DC-9EA4-4802-A284-F0F8AEBA4877}"/>
    <hyperlink ref="L3" r:id="rId5" xr:uid="{DE814A4B-6567-4CCE-8DE3-378CD0F2C182}"/>
    <hyperlink ref="L4" r:id="rId6" xr:uid="{1A7D470B-A38D-4295-A026-A009E7E3350E}"/>
    <hyperlink ref="L5" r:id="rId7" xr:uid="{C2F548AE-1571-4B5D-8F5C-6C827EFB07D8}"/>
    <hyperlink ref="L6" r:id="rId8" xr:uid="{54323170-AFF3-4F65-B10E-63F4376CFCC8}"/>
    <hyperlink ref="L7" r:id="rId9" xr:uid="{1F1139B5-E066-4524-9A1D-701484A87063}"/>
    <hyperlink ref="L8" r:id="rId10" xr:uid="{28D3692B-865F-4BF2-BEDF-648ED25C6216}"/>
    <hyperlink ref="L9" r:id="rId11" xr:uid="{E0D6A0B3-B9ED-403A-AEFB-839A6B0E2732}"/>
    <hyperlink ref="L10" r:id="rId12" xr:uid="{3237A9AE-9608-414D-BFFE-725DAF963746}"/>
    <hyperlink ref="L11" r:id="rId13" xr:uid="{8047DAB6-66B3-4FAB-95B1-43D42F446405}"/>
    <hyperlink ref="L12" r:id="rId14" xr:uid="{5785426D-163D-483E-9E90-97C2DEACADEF}"/>
    <hyperlink ref="L13" r:id="rId15" xr:uid="{932C61B8-948D-4C0A-97AA-EED98E54296B}"/>
    <hyperlink ref="L14" r:id="rId16" xr:uid="{71A19693-BB2B-4350-BA0B-A4025851366B}"/>
    <hyperlink ref="L15" r:id="rId17" xr:uid="{1630104D-E111-4DDE-B78F-B6B98AD049C9}"/>
    <hyperlink ref="L16" r:id="rId18" xr:uid="{297AB614-8A9A-4FBC-B86B-44A12AC59429}"/>
    <hyperlink ref="L17" r:id="rId19" xr:uid="{91FE7A44-65EF-4E04-B957-70FBBAB9056B}"/>
    <hyperlink ref="L18" r:id="rId20" xr:uid="{9E9382E5-FA05-4FE9-BF6D-268341FE7FED}"/>
    <hyperlink ref="L19" r:id="rId21" xr:uid="{E404645C-E7E8-4466-8177-5E3B1EC1AA4E}"/>
    <hyperlink ref="L20" r:id="rId22" xr:uid="{81AF7CC2-C3A3-455F-B8F9-ADA4EA8A3CF1}"/>
    <hyperlink ref="L21" r:id="rId23" xr:uid="{C18D619A-A10A-49DE-B8D6-668226EE79BD}"/>
    <hyperlink ref="L22" r:id="rId24" xr:uid="{F9E71924-5DA1-4874-AAD9-A7C85D928A8F}"/>
    <hyperlink ref="L23" r:id="rId25" xr:uid="{4B7D7763-CC42-4D40-B1F0-48849B57C8D0}"/>
    <hyperlink ref="L24" r:id="rId26" xr:uid="{28B8AFB7-EBB3-4143-ABA6-27614B4DC33E}"/>
    <hyperlink ref="L27" r:id="rId27" xr:uid="{4EDC7A8B-DF38-4B84-A2F0-02E723F26576}"/>
    <hyperlink ref="L28" r:id="rId28" xr:uid="{CBC3B3B6-0B1D-4132-B3E4-A95E0442D55F}"/>
    <hyperlink ref="L29" r:id="rId29" xr:uid="{698EE5D7-7F82-4D06-BF7F-3C5CB0499C4B}"/>
    <hyperlink ref="L30" r:id="rId30" xr:uid="{E76E4496-10B2-42D9-A67A-2A10CA0D5044}"/>
    <hyperlink ref="L31" r:id="rId31" xr:uid="{E12FA257-62E6-4D1A-B872-0955F94A5442}"/>
    <hyperlink ref="L33" r:id="rId32" xr:uid="{C5B1811F-608D-4A91-B9B9-16E91A89A86E}"/>
    <hyperlink ref="L34" r:id="rId33" xr:uid="{AC5E4135-5171-4BCA-8BDC-1618C9E63E56}"/>
    <hyperlink ref="L35" r:id="rId34" xr:uid="{AC796BAD-32C7-4D2B-9B65-A817489A6A27}"/>
    <hyperlink ref="L36" r:id="rId35" xr:uid="{F6D4681D-3608-447A-9892-1B32092C45BE}"/>
    <hyperlink ref="L37" r:id="rId36" xr:uid="{A5344DAF-D1DC-480D-B2CA-D7FEA821592B}"/>
    <hyperlink ref="L38" r:id="rId37" xr:uid="{3703AE3F-3B74-47B8-8693-99E3397D2FC3}"/>
    <hyperlink ref="L39" r:id="rId38" xr:uid="{3EE8E5EA-9297-4995-9535-3DBF461FC62C}"/>
  </hyperlinks>
  <pageMargins left="0.23622047244094491" right="0.23622047244094491" top="0.35433070866141736" bottom="0.35433070866141736" header="0.31496062992125984" footer="0.31496062992125984"/>
  <pageSetup paperSize="9" scale="70" orientation="landscape" r:id="rId39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Kircher</dc:creator>
  <cp:lastModifiedBy>TU-Pseudonym 17471386163938331464157264054</cp:lastModifiedBy>
  <cp:lastPrinted>2025-01-22T13:04:14Z</cp:lastPrinted>
  <dcterms:created xsi:type="dcterms:W3CDTF">2024-05-02T17:50:02Z</dcterms:created>
  <dcterms:modified xsi:type="dcterms:W3CDTF">2026-08-28T16:28:04Z</dcterms:modified>
</cp:coreProperties>
</file>