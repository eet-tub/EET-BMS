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vel\Nextcloud\Arbeit\Projekte\STM32_Projekte\Open_BMS\Open_BMS\Hardware\EET_BMS_Layout\bom\"/>
    </mc:Choice>
  </mc:AlternateContent>
  <xr:revisionPtr revIDLastSave="0" documentId="13_ncr:1_{A9A9BA8A-C378-4F84-BEA5-611FFE293E20}" xr6:coauthVersionLast="47" xr6:coauthVersionMax="47" xr10:uidLastSave="{00000000-0000-0000-0000-000000000000}"/>
  <bookViews>
    <workbookView xWindow="-38520" yWindow="-120" windowWidth="38640" windowHeight="21120" tabRatio="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2" i="1" l="1"/>
  <c r="F41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<sst xmlns="http://schemas.openxmlformats.org/spreadsheetml/2006/main" count="237" uniqueCount="130">
  <si>
    <t>Designator</t>
  </si>
  <si>
    <t>Component</t>
  </si>
  <si>
    <t>Number</t>
  </si>
  <si>
    <t>Cost per unit</t>
  </si>
  <si>
    <t>Currency</t>
  </si>
  <si>
    <t>Total cost</t>
  </si>
  <si>
    <t>Source of materials</t>
  </si>
  <si>
    <t>Material type</t>
  </si>
  <si>
    <t>C1, C2, C3, C4, C5, C6, C7, C8, C9, C10, C12, C13, C40, C41, C42, C49, C53, C57, C58, C59, C60, C61, C62, C63, C64, C65, C66, C67, C68, C69, C70, C73, C74, C75, C76, C77, C78, C84</t>
  </si>
  <si>
    <t>100 nF Ceramic capacitor</t>
  </si>
  <si>
    <t>EUR</t>
  </si>
  <si>
    <t>TME</t>
  </si>
  <si>
    <t>Electronic</t>
  </si>
  <si>
    <t>C15, C16, C17, C25, C26, C27, C28, C29, C30, C32, C33, C34, C35, C36</t>
  </si>
  <si>
    <t>1 nF Ceramic capacitor</t>
  </si>
  <si>
    <t>C14, C19, C20, C21, C22, C23, C24</t>
  </si>
  <si>
    <t>10 nF Ceramic capacitor</t>
  </si>
  <si>
    <t>C18, C39, C43, C44, C47, C48</t>
  </si>
  <si>
    <t>10 uF electrolytic capacitor</t>
  </si>
  <si>
    <t>C54, C55, C56, C71</t>
  </si>
  <si>
    <t>4.7 uF Ceramic capacitor</t>
  </si>
  <si>
    <t>C50, C51, C52</t>
  </si>
  <si>
    <t>2.2 uF Ceramic capacitor</t>
  </si>
  <si>
    <t>C11, C38</t>
  </si>
  <si>
    <t>330 nF Ceramic capacitor</t>
  </si>
  <si>
    <t>C37, C72</t>
  </si>
  <si>
    <t>1 uF Ceramic capacitor</t>
  </si>
  <si>
    <t>C45, C46</t>
  </si>
  <si>
    <t>27 pF Ceramic capacitor</t>
  </si>
  <si>
    <t>R22, R23, R24, R25, R26, R27, R29, R30, R32, R33, R48, R52, R53</t>
  </si>
  <si>
    <t>100 Ohm Resistor</t>
  </si>
  <si>
    <t>R20, R28, R34, R35, R36, R45, R47</t>
  </si>
  <si>
    <t>1 kOhm Resistor</t>
  </si>
  <si>
    <t>R1, R3, R5, R7, R14, R16</t>
  </si>
  <si>
    <t>10 Ohm Resistor</t>
  </si>
  <si>
    <t>R2, R4, R6, R8, R13</t>
  </si>
  <si>
    <t>47 Ohm Resistor</t>
  </si>
  <si>
    <t>R9, R10, R11, R12, R37</t>
  </si>
  <si>
    <t>470 Ohm Resistor</t>
  </si>
  <si>
    <t>R17, R18, R19, R21, R49</t>
  </si>
  <si>
    <t>33 kOhm Resistor</t>
  </si>
  <si>
    <t>R42, R43, R44</t>
  </si>
  <si>
    <t>0 Ohm Resistor (jumper)</t>
  </si>
  <si>
    <t>R31, R46</t>
  </si>
  <si>
    <t>5 mOhm Shunt Resistor</t>
  </si>
  <si>
    <t>R15</t>
  </si>
  <si>
    <t>5.1 Ohm Resistor</t>
  </si>
  <si>
    <t>R41</t>
  </si>
  <si>
    <t>10 kOhm Resistor</t>
  </si>
  <si>
    <t>D1, D2, D3, D4</t>
  </si>
  <si>
    <t>LED</t>
  </si>
  <si>
    <t>D5</t>
  </si>
  <si>
    <t>3 V Zener Diode</t>
  </si>
  <si>
    <t>U5, U10</t>
  </si>
  <si>
    <t>3.3 V LDO Voltage Regulator</t>
  </si>
  <si>
    <t>U1</t>
  </si>
  <si>
    <t>TLE9012DQU Battery Monitoring IC</t>
  </si>
  <si>
    <t>USD</t>
  </si>
  <si>
    <t>Infineon</t>
  </si>
  <si>
    <t>U2</t>
  </si>
  <si>
    <t>Digital Isolator IC</t>
  </si>
  <si>
    <t>U4</t>
  </si>
  <si>
    <t>Isolated RS-485 Transceiver IC</t>
  </si>
  <si>
    <t>U6</t>
  </si>
  <si>
    <t>STM32H755ZI Dual-Core Microcontroller</t>
  </si>
  <si>
    <t>STMicroelectronics</t>
  </si>
  <si>
    <t>U8</t>
  </si>
  <si>
    <t>TSC2012 IC</t>
  </si>
  <si>
    <t>Mouser</t>
  </si>
  <si>
    <t>Y1</t>
  </si>
  <si>
    <t>16 MHz Crystal Oscillator</t>
  </si>
  <si>
    <t>Q1, Q2</t>
  </si>
  <si>
    <t>P-Channel MOSFET</t>
  </si>
  <si>
    <t>PS2</t>
  </si>
  <si>
    <t>5 V Isolated DC-DC Converter</t>
  </si>
  <si>
    <t>Q3</t>
  </si>
  <si>
    <t>N-Channel MOSFET</t>
  </si>
  <si>
    <t>J1, J3, J4, J9</t>
  </si>
  <si>
    <t>2-pin JST-XH Connector (Temperature Sensor)</t>
  </si>
  <si>
    <t>J2</t>
  </si>
  <si>
    <t>7-pin JST-XH Connector</t>
  </si>
  <si>
    <t>J5</t>
  </si>
  <si>
    <t>4-pin Pin Header</t>
  </si>
  <si>
    <t>J6, J8</t>
  </si>
  <si>
    <t>4-pin JST-XH Connector (RS-485)</t>
  </si>
  <si>
    <t>J10, J12</t>
  </si>
  <si>
    <t>2x20-pin Debug Header</t>
  </si>
  <si>
    <t>J13</t>
  </si>
  <si>
    <t>2x20-pin Pin Header</t>
  </si>
  <si>
    <t>Total (EUR)</t>
  </si>
  <si>
    <t>Total (USD)</t>
  </si>
  <si>
    <t>Link</t>
  </si>
  <si>
    <t>https://www.tme.eu/en/details/0805b104k500ct/mlcc-smd-capacitors/walsin/</t>
  </si>
  <si>
    <t>https://www.tme.eu/en/details/cl21b102kbannnc/mlcc-smd-capacitors/samsung/</t>
  </si>
  <si>
    <t>https://www.tme.eu/en/details/cc0805krx7r9bb103/mlcc-smd-capacitors/yageo/</t>
  </si>
  <si>
    <t>https://www.tme.eu/en/details/pf1j100mnn0511u/tht-electrolytic-capacitors/elite/</t>
  </si>
  <si>
    <t>https://www.tme.eu/en/details/cl21a475kpfnnng/mlcc-smd-capacitors/samsung/</t>
  </si>
  <si>
    <t>https://www.tme.eu/en/details/cl21b225kafnnne/mlcc-smd-capacitors/samsung/</t>
  </si>
  <si>
    <t>https://www.tme.eu/en/details/cc0805kkx7r9bb334/mlcc-smd-capacitors/yageo/</t>
  </si>
  <si>
    <t>https://www.tme.eu/en/details/cc0805kkx5r8bb105/mlcc-smd-capacitors/yageo/</t>
  </si>
  <si>
    <t>https://www.tme.eu/en/details/c0805c270j5gac/mlcc-smd-capacitors/kemet/c0805c270j5gactu/</t>
  </si>
  <si>
    <t>https://www.tme.eu/en/details/crg0805f100r/smd-resistors/te-connectivity/1623096-1/</t>
  </si>
  <si>
    <t>https://www.tme.eu/en/details/crcw08051k00fktabc/smd-resistors/vishay/</t>
  </si>
  <si>
    <t>https://www.tme.eu/en/details/crcw080510r0fktabc/smd-resistors/vishay/</t>
  </si>
  <si>
    <t>https://www.tme.eu/en/details/hp06-47r1%25/smd-resistors/royalohm/hp06w2f470jt5e/</t>
  </si>
  <si>
    <t>https://www.tme.eu/en/details/smd0805-470r-1%25/smd-resistors/royalohm/0805s8f4700t5e/</t>
  </si>
  <si>
    <t>https://www.tme.eu/en/details/smd0805-33k-1%25/smd-resistors/royalohm/0805s8f3302t5e/</t>
  </si>
  <si>
    <t>https://www.tme.eu/en/details/mar251202fr005s/smd-resistors/wayon/</t>
  </si>
  <si>
    <t>https://www.tme.eu/en/details/erj6geyj5r1v/smd-resistors/panasonic/</t>
  </si>
  <si>
    <t>https://www.tme.eu/en/details/erj6enf1002v/smd-resistors/panasonic/</t>
  </si>
  <si>
    <t>https://www.tme.eu/en/details/fyls-0805pgc/smd-colour-leds/foryard/</t>
  </si>
  <si>
    <t>https://www.tme.eu/en/details/mmsz4683-tp/smd-zener-diodes/micro-commercial-components/</t>
  </si>
  <si>
    <t>https://www.tme.eu/en/details/lf33cv/ldo-fixed-voltage-regulators/stmicroelectronics/</t>
  </si>
  <si>
    <t>https://www.infineon.com/part/tle9012dqu</t>
  </si>
  <si>
    <t>https://www.tme.eu/en/details/adum1200arz/interfaces-others-integrated-circuits/analog-devices/</t>
  </si>
  <si>
    <t>https://www.tme.eu/en/details/thvd1500d/rs232-rs422-rs485-integr-circ/texas-instruments/</t>
  </si>
  <si>
    <t>https://estore.st.com/en/stm32h755zit6-cpn.html</t>
  </si>
  <si>
    <t>https://eu.mouser.com/en/ProductDetail/STMicroelectronics/TSC2012IDT?qs=%252B6g0mu59x7KSqOHhuXDI4w%3D%3D</t>
  </si>
  <si>
    <t>https://www.tme.eu/en/details/16.00m-smdhc49s/quarzresonatoren-smd/yic/</t>
  </si>
  <si>
    <t>https://www.tme.eu/en/details/sud19p06-60-ge3/smd-p-channel-transistors/vishay/</t>
  </si>
  <si>
    <t>https://www.tme.eu/en/details/rfm-0505s/dc-dc-converters/recom/</t>
  </si>
  <si>
    <t>https://www.tme.eu/en/details/bss138a-tp/smd-n-channel-transistors/micro-commercial-components/</t>
  </si>
  <si>
    <t>https://www.tme.eu/en/details/b2b-xh-a/raster-signal-connectors-2-50mm/jst/b2b-xh-a-lf-sn/</t>
  </si>
  <si>
    <t>https://www.tme.eu/en/details/b7b-xh-a/raster-signal-connectors-2-50mm/jst/b7b-xh-a-lf-sn/</t>
  </si>
  <si>
    <t>https://www.tme.eu/en/details/zl262-4sg/pin-headers/connfly/ds1023-1-4s21/</t>
  </si>
  <si>
    <t>https://www.tme.eu/en/details/b4b-xh-a/raster-signal-connectors-2-50mm/jst/b4b-xh-a-lf-sn/</t>
  </si>
  <si>
    <t>https://www.tme.eu/en/details/zl202-40g/pin-headers/connfly/ds1021-2-20sf11-b/</t>
  </si>
  <si>
    <t>https://www.tme.eu/en/details/zl262-40dg/pin-headers/connfly/ds1023-2-20s21/</t>
  </si>
  <si>
    <t>PCB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</si>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</sst>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charset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0"/>
        <bgColor rgb="FF66669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2" xfId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en/details/crcw08051k00fktabc/smd-resistors/vishay/" TargetMode="External"/><Relationship Id="rId18" Type="http://schemas.openxmlformats.org/officeDocument/2006/relationships/hyperlink" Target="https://www.tme.eu/en/details/smd0805-33k-1%25/smd-resistors/royalohm/0805s8f3302t5e/" TargetMode="External"/><Relationship Id="rId26" Type="http://schemas.openxmlformats.org/officeDocument/2006/relationships/hyperlink" Target="https://estore.st.com/en/stm32h755zit6-cpn.html" TargetMode="External"/><Relationship Id="rId21" Type="http://schemas.openxmlformats.org/officeDocument/2006/relationships/hyperlink" Target="https://www.tme.eu/en/details/erj6enf1002v/smd-resistors/panasonic/" TargetMode="External"/><Relationship Id="rId34" Type="http://schemas.openxmlformats.org/officeDocument/2006/relationships/hyperlink" Target="https://www.tme.eu/en/details/zl262-4sg/pin-headers/connfly/ds1023-1-4s21/" TargetMode="External"/><Relationship Id="rId7" Type="http://schemas.openxmlformats.org/officeDocument/2006/relationships/hyperlink" Target="https://www.tme.eu/en/details/cl21a475kpfnnng/mlcc-smd-capacitors/samsung/" TargetMode="External"/><Relationship Id="rId12" Type="http://schemas.openxmlformats.org/officeDocument/2006/relationships/hyperlink" Target="https://www.tme.eu/en/details/crg0805f100r/smd-resistors/te-connectivity/1623096-1/" TargetMode="External"/><Relationship Id="rId17" Type="http://schemas.openxmlformats.org/officeDocument/2006/relationships/hyperlink" Target="https://www.tme.eu/en/details/smd0805-33k-1%25/smd-resistors/royalohm/0805s8f3302t5e/" TargetMode="External"/><Relationship Id="rId25" Type="http://schemas.openxmlformats.org/officeDocument/2006/relationships/hyperlink" Target="https://www.infineon.com/part/tle9012dqu" TargetMode="External"/><Relationship Id="rId33" Type="http://schemas.openxmlformats.org/officeDocument/2006/relationships/hyperlink" Target="https://www.tme.eu/en/details/b7b-xh-a/raster-signal-connectors-2-50mm/jst/b7b-xh-a-lf-sn/" TargetMode="External"/><Relationship Id="rId2" Type="http://schemas.openxmlformats.org/officeDocument/2006/relationships/hyperlink" Target="https://www.tme.eu/en/details/thvd1500d/rs232-rs422-rs485-integr-circ/texas-instruments/" TargetMode="External"/><Relationship Id="rId16" Type="http://schemas.openxmlformats.org/officeDocument/2006/relationships/hyperlink" Target="https://www.tme.eu/en/details/smd0805-470r-1%25/smd-resistors/royalohm/0805s8f4700t5e/" TargetMode="External"/><Relationship Id="rId20" Type="http://schemas.openxmlformats.org/officeDocument/2006/relationships/hyperlink" Target="https://www.tme.eu/en/details/erj6geyj5r1v/smd-resistors/panasonic/" TargetMode="External"/><Relationship Id="rId29" Type="http://schemas.openxmlformats.org/officeDocument/2006/relationships/hyperlink" Target="https://www.tme.eu/en/details/sud19p06-60-ge3/smd-p-channel-transistors/vishay/" TargetMode="External"/><Relationship Id="rId1" Type="http://schemas.openxmlformats.org/officeDocument/2006/relationships/hyperlink" Target="https://www.tme.eu/en/details/adum1200arz/interfaces-others-integrated-circuits/analog-devices/" TargetMode="External"/><Relationship Id="rId6" Type="http://schemas.openxmlformats.org/officeDocument/2006/relationships/hyperlink" Target="https://www.tme.eu/en/details/pf1j100mnn0511u/tht-electrolytic-capacitors/elite/" TargetMode="External"/><Relationship Id="rId11" Type="http://schemas.openxmlformats.org/officeDocument/2006/relationships/hyperlink" Target="https://www.tme.eu/en/details/c0805c270j5gac/mlcc-smd-capacitors/kemet/c0805c270j5gactu/" TargetMode="External"/><Relationship Id="rId24" Type="http://schemas.openxmlformats.org/officeDocument/2006/relationships/hyperlink" Target="https://www.tme.eu/en/details/lf33cv/ldo-fixed-voltage-regulators/stmicroelectronics/" TargetMode="External"/><Relationship Id="rId32" Type="http://schemas.openxmlformats.org/officeDocument/2006/relationships/hyperlink" Target="https://www.tme.eu/en/details/b2b-xh-a/raster-signal-connectors-2-50mm/jst/b2b-xh-a-lf-sn/" TargetMode="External"/><Relationship Id="rId37" Type="http://schemas.openxmlformats.org/officeDocument/2006/relationships/hyperlink" Target="https://www.tme.eu/en/details/zl262-40dg/pin-headers/connfly/ds1023-2-20s21/" TargetMode="External"/><Relationship Id="rId5" Type="http://schemas.openxmlformats.org/officeDocument/2006/relationships/hyperlink" Target="https://www.tme.eu/en/details/cc0805krx7r9bb103/mlcc-smd-capacitors/yageo/" TargetMode="External"/><Relationship Id="rId15" Type="http://schemas.openxmlformats.org/officeDocument/2006/relationships/hyperlink" Target="https://www.tme.eu/en/details/hp06-47r1%25/smd-resistors/royalohm/hp06w2f470jt5e/" TargetMode="External"/><Relationship Id="rId23" Type="http://schemas.openxmlformats.org/officeDocument/2006/relationships/hyperlink" Target="https://www.tme.eu/en/details/mmsz4683-tp/smd-zener-diodes/micro-commercial-components/" TargetMode="External"/><Relationship Id="rId28" Type="http://schemas.openxmlformats.org/officeDocument/2006/relationships/hyperlink" Target="https://www.tme.eu/en/details/16.00m-smdhc49s/quarzresonatoren-smd/yic/" TargetMode="External"/><Relationship Id="rId36" Type="http://schemas.openxmlformats.org/officeDocument/2006/relationships/hyperlink" Target="https://www.tme.eu/en/details/zl202-40g/pin-headers/connfly/ds1021-2-20sf11-b/" TargetMode="External"/><Relationship Id="rId10" Type="http://schemas.openxmlformats.org/officeDocument/2006/relationships/hyperlink" Target="https://www.tme.eu/en/details/cc0805kkx5r8bb105/mlcc-smd-capacitors/yageo/" TargetMode="External"/><Relationship Id="rId19" Type="http://schemas.openxmlformats.org/officeDocument/2006/relationships/hyperlink" Target="https://www.tme.eu/en/details/mar251202fr005s/smd-resistors/wayon/" TargetMode="External"/><Relationship Id="rId31" Type="http://schemas.openxmlformats.org/officeDocument/2006/relationships/hyperlink" Target="https://www.tme.eu/en/details/bss138a-tp/smd-n-channel-transistors/micro-commercial-components/" TargetMode="External"/><Relationship Id="rId4" Type="http://schemas.openxmlformats.org/officeDocument/2006/relationships/hyperlink" Target="https://www.tme.eu/en/details/cl21b102kbannnc/mlcc-smd-capacitors/samsung/" TargetMode="External"/><Relationship Id="rId9" Type="http://schemas.openxmlformats.org/officeDocument/2006/relationships/hyperlink" Target="https://www.tme.eu/en/details/cc0805kkx7r9bb334/mlcc-smd-capacitors/yageo/" TargetMode="External"/><Relationship Id="rId14" Type="http://schemas.openxmlformats.org/officeDocument/2006/relationships/hyperlink" Target="https://www.tme.eu/en/details/crcw080510r0fktabc/smd-resistors/vishay/" TargetMode="External"/><Relationship Id="rId22" Type="http://schemas.openxmlformats.org/officeDocument/2006/relationships/hyperlink" Target="https://www.tme.eu/en/details/fyls-0805pgc/smd-colour-leds/foryard/" TargetMode="External"/><Relationship Id="rId27" Type="http://schemas.openxmlformats.org/officeDocument/2006/relationships/hyperlink" Target="https://eu.mouser.com/en/ProductDetail/STMicroelectronics/TSC2012IDT?qs=%252B6g0mu59x7KSqOHhuXDI4w%3D%3D" TargetMode="External"/><Relationship Id="rId30" Type="http://schemas.openxmlformats.org/officeDocument/2006/relationships/hyperlink" Target="https://www.tme.eu/en/details/rfm-0505s/dc-dc-converters/recom/" TargetMode="External"/><Relationship Id="rId35" Type="http://schemas.openxmlformats.org/officeDocument/2006/relationships/hyperlink" Target="https://www.tme.eu/en/details/b4b-xh-a/raster-signal-connectors-2-50mm/jst/b4b-xh-a-lf-sn/" TargetMode="External"/><Relationship Id="rId8" Type="http://schemas.openxmlformats.org/officeDocument/2006/relationships/hyperlink" Target="https://www.tme.eu/en/details/cl21b225kafnnne/mlcc-smd-capacitors/samsung/" TargetMode="External"/><Relationship Id="rId3" Type="http://schemas.openxmlformats.org/officeDocument/2006/relationships/hyperlink" Target="https://www.tme.eu/en/details/0805b104k500ct/mlcc-smd-capacitors/wals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Normal="100" workbookViewId="0">
      <pane ySplit="1" topLeftCell="A2" activePane="bottomLeft" state="frozen"/>
      <selection pane="bottomLeft" activeCell="G43" sqref="G43"/>
    </sheetView>
  </sheetViews>
  <sheetFormatPr baseColWidth="10" defaultColWidth="8.69140625" defaultRowHeight="14.6" x14ac:dyDescent="0.4"/>
  <cols>
    <col min="1" max="1" width="55" customWidth="1"/>
    <col min="2" max="2" width="42" customWidth="1"/>
    <col min="3" max="3" width="9" customWidth="1"/>
    <col min="4" max="4" width="13" customWidth="1"/>
    <col min="5" max="5" width="10" customWidth="1"/>
    <col min="6" max="6" width="12" customWidth="1"/>
    <col min="7" max="7" width="18" customWidth="1"/>
    <col min="8" max="8" width="13" customWidth="1"/>
    <col min="9" max="9" width="81" customWidth="1"/>
  </cols>
  <sheetData>
    <row r="1" spans="1:9" ht="28.3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91</v>
      </c>
    </row>
    <row r="2" spans="1:9" x14ac:dyDescent="0.4">
      <c r="A2" s="6" t="s">
        <v>128</v>
      </c>
      <c r="B2" s="11" t="s">
        <v>128</v>
      </c>
      <c r="C2" s="12">
        <v>1</v>
      </c>
      <c r="D2" s="4"/>
      <c r="E2" s="8" t="s">
        <v>10</v>
      </c>
      <c r="F2" s="4"/>
      <c r="G2" s="11" t="s">
        <v>129</v>
      </c>
      <c r="H2" s="11"/>
      <c r="I2" s="4"/>
    </row>
    <row r="3" spans="1:9" ht="37.299999999999997" x14ac:dyDescent="0.4">
      <c r="A3" s="7" t="s">
        <v>8</v>
      </c>
      <c r="B3" s="7" t="s">
        <v>9</v>
      </c>
      <c r="C3" s="8">
        <v>38</v>
      </c>
      <c r="D3" s="9">
        <v>5.6000000000000001E-2</v>
      </c>
      <c r="E3" s="8" t="s">
        <v>10</v>
      </c>
      <c r="F3" s="10">
        <f t="shared" ref="F3:F39" si="0">C3*D3</f>
        <v>2.1280000000000001</v>
      </c>
      <c r="G3" s="8" t="s">
        <v>11</v>
      </c>
      <c r="H3" s="8" t="s">
        <v>12</v>
      </c>
      <c r="I3" s="5" t="s">
        <v>92</v>
      </c>
    </row>
    <row r="4" spans="1:9" ht="24.9" x14ac:dyDescent="0.4">
      <c r="A4" s="7" t="s">
        <v>13</v>
      </c>
      <c r="B4" s="7" t="s">
        <v>14</v>
      </c>
      <c r="C4" s="8">
        <v>14</v>
      </c>
      <c r="D4" s="9">
        <v>3.2000000000000001E-2</v>
      </c>
      <c r="E4" s="8" t="s">
        <v>10</v>
      </c>
      <c r="F4" s="10">
        <f t="shared" si="0"/>
        <v>0.44800000000000001</v>
      </c>
      <c r="G4" s="8" t="s">
        <v>11</v>
      </c>
      <c r="H4" s="8" t="s">
        <v>12</v>
      </c>
      <c r="I4" s="5" t="s">
        <v>93</v>
      </c>
    </row>
    <row r="5" spans="1:9" x14ac:dyDescent="0.4">
      <c r="A5" s="7" t="s">
        <v>15</v>
      </c>
      <c r="B5" s="7" t="s">
        <v>16</v>
      </c>
      <c r="C5" s="8">
        <v>8</v>
      </c>
      <c r="D5" s="9">
        <v>7.9000000000000001E-2</v>
      </c>
      <c r="E5" s="8" t="s">
        <v>10</v>
      </c>
      <c r="F5" s="10">
        <f t="shared" si="0"/>
        <v>0.63200000000000001</v>
      </c>
      <c r="G5" s="8" t="s">
        <v>11</v>
      </c>
      <c r="H5" s="8" t="s">
        <v>12</v>
      </c>
      <c r="I5" s="5" t="s">
        <v>94</v>
      </c>
    </row>
    <row r="6" spans="1:9" x14ac:dyDescent="0.4">
      <c r="A6" s="7" t="s">
        <v>17</v>
      </c>
      <c r="B6" s="7" t="s">
        <v>18</v>
      </c>
      <c r="C6" s="8">
        <v>6</v>
      </c>
      <c r="D6" s="9">
        <v>2.3E-2</v>
      </c>
      <c r="E6" s="8" t="s">
        <v>10</v>
      </c>
      <c r="F6" s="10">
        <f t="shared" si="0"/>
        <v>0.13800000000000001</v>
      </c>
      <c r="G6" s="8" t="s">
        <v>11</v>
      </c>
      <c r="H6" s="8" t="s">
        <v>12</v>
      </c>
      <c r="I6" s="5" t="s">
        <v>95</v>
      </c>
    </row>
    <row r="7" spans="1:9" x14ac:dyDescent="0.4">
      <c r="A7" s="7" t="s">
        <v>19</v>
      </c>
      <c r="B7" s="7" t="s">
        <v>20</v>
      </c>
      <c r="C7" s="8">
        <v>4</v>
      </c>
      <c r="D7" s="9">
        <v>9.1999999999999998E-2</v>
      </c>
      <c r="E7" s="8" t="s">
        <v>10</v>
      </c>
      <c r="F7" s="10">
        <f t="shared" si="0"/>
        <v>0.36799999999999999</v>
      </c>
      <c r="G7" s="8" t="s">
        <v>11</v>
      </c>
      <c r="H7" s="8" t="s">
        <v>12</v>
      </c>
      <c r="I7" s="5" t="s">
        <v>96</v>
      </c>
    </row>
    <row r="8" spans="1:9" x14ac:dyDescent="0.4">
      <c r="A8" s="7" t="s">
        <v>21</v>
      </c>
      <c r="B8" s="7" t="s">
        <v>22</v>
      </c>
      <c r="C8" s="8">
        <v>3</v>
      </c>
      <c r="D8" s="9">
        <v>0.154</v>
      </c>
      <c r="E8" s="8" t="s">
        <v>10</v>
      </c>
      <c r="F8" s="10">
        <f t="shared" si="0"/>
        <v>0.46199999999999997</v>
      </c>
      <c r="G8" s="8" t="s">
        <v>11</v>
      </c>
      <c r="H8" s="8" t="s">
        <v>12</v>
      </c>
      <c r="I8" s="5" t="s">
        <v>97</v>
      </c>
    </row>
    <row r="9" spans="1:9" x14ac:dyDescent="0.4">
      <c r="A9" s="7" t="s">
        <v>23</v>
      </c>
      <c r="B9" s="7" t="s">
        <v>24</v>
      </c>
      <c r="C9" s="8">
        <v>2</v>
      </c>
      <c r="D9" s="9">
        <v>7.5999999999999998E-2</v>
      </c>
      <c r="E9" s="8" t="s">
        <v>10</v>
      </c>
      <c r="F9" s="10">
        <f t="shared" si="0"/>
        <v>0.152</v>
      </c>
      <c r="G9" s="8" t="s">
        <v>11</v>
      </c>
      <c r="H9" s="8" t="s">
        <v>12</v>
      </c>
      <c r="I9" s="5" t="s">
        <v>98</v>
      </c>
    </row>
    <row r="10" spans="1:9" x14ac:dyDescent="0.4">
      <c r="A10" s="7" t="s">
        <v>25</v>
      </c>
      <c r="B10" s="7" t="s">
        <v>26</v>
      </c>
      <c r="C10" s="8">
        <v>2</v>
      </c>
      <c r="D10" s="9">
        <v>0.124</v>
      </c>
      <c r="E10" s="8" t="s">
        <v>10</v>
      </c>
      <c r="F10" s="10">
        <f t="shared" si="0"/>
        <v>0.248</v>
      </c>
      <c r="G10" s="8" t="s">
        <v>11</v>
      </c>
      <c r="H10" s="8" t="s">
        <v>12</v>
      </c>
      <c r="I10" s="5" t="s">
        <v>99</v>
      </c>
    </row>
    <row r="11" spans="1:9" x14ac:dyDescent="0.4">
      <c r="A11" s="7" t="s">
        <v>27</v>
      </c>
      <c r="B11" s="7" t="s">
        <v>28</v>
      </c>
      <c r="C11" s="8">
        <v>2</v>
      </c>
      <c r="D11" s="9">
        <v>6.7000000000000004E-2</v>
      </c>
      <c r="E11" s="8" t="s">
        <v>10</v>
      </c>
      <c r="F11" s="10">
        <f t="shared" si="0"/>
        <v>0.13400000000000001</v>
      </c>
      <c r="G11" s="8" t="s">
        <v>11</v>
      </c>
      <c r="H11" s="8" t="s">
        <v>12</v>
      </c>
      <c r="I11" s="5" t="s">
        <v>100</v>
      </c>
    </row>
    <row r="12" spans="1:9" ht="24.9" x14ac:dyDescent="0.4">
      <c r="A12" s="7" t="s">
        <v>29</v>
      </c>
      <c r="B12" s="7" t="s">
        <v>30</v>
      </c>
      <c r="C12" s="8">
        <v>13</v>
      </c>
      <c r="D12" s="9">
        <v>2.4E-2</v>
      </c>
      <c r="E12" s="8" t="s">
        <v>10</v>
      </c>
      <c r="F12" s="10">
        <f t="shared" si="0"/>
        <v>0.312</v>
      </c>
      <c r="G12" s="8" t="s">
        <v>11</v>
      </c>
      <c r="H12" s="8" t="s">
        <v>12</v>
      </c>
      <c r="I12" s="5" t="s">
        <v>101</v>
      </c>
    </row>
    <row r="13" spans="1:9" x14ac:dyDescent="0.4">
      <c r="A13" s="7" t="s">
        <v>31</v>
      </c>
      <c r="B13" s="7" t="s">
        <v>32</v>
      </c>
      <c r="C13" s="8">
        <v>7</v>
      </c>
      <c r="D13" s="9">
        <v>5.0000000000000001E-3</v>
      </c>
      <c r="E13" s="8" t="s">
        <v>10</v>
      </c>
      <c r="F13" s="10">
        <f t="shared" si="0"/>
        <v>3.5000000000000003E-2</v>
      </c>
      <c r="G13" s="8" t="s">
        <v>11</v>
      </c>
      <c r="H13" s="8" t="s">
        <v>12</v>
      </c>
      <c r="I13" s="5" t="s">
        <v>102</v>
      </c>
    </row>
    <row r="14" spans="1:9" x14ac:dyDescent="0.4">
      <c r="A14" s="7" t="s">
        <v>33</v>
      </c>
      <c r="B14" s="7" t="s">
        <v>34</v>
      </c>
      <c r="C14" s="8">
        <v>6</v>
      </c>
      <c r="D14" s="9">
        <v>8.9999999999999993E-3</v>
      </c>
      <c r="E14" s="8" t="s">
        <v>10</v>
      </c>
      <c r="F14" s="10">
        <f t="shared" si="0"/>
        <v>5.3999999999999992E-2</v>
      </c>
      <c r="G14" s="8" t="s">
        <v>11</v>
      </c>
      <c r="H14" s="8" t="s">
        <v>12</v>
      </c>
      <c r="I14" s="5" t="s">
        <v>103</v>
      </c>
    </row>
    <row r="15" spans="1:9" x14ac:dyDescent="0.4">
      <c r="A15" s="7" t="s">
        <v>35</v>
      </c>
      <c r="B15" s="7" t="s">
        <v>36</v>
      </c>
      <c r="C15" s="8">
        <v>5</v>
      </c>
      <c r="D15" s="9">
        <v>2.7E-2</v>
      </c>
      <c r="E15" s="8" t="s">
        <v>10</v>
      </c>
      <c r="F15" s="10">
        <f t="shared" si="0"/>
        <v>0.13500000000000001</v>
      </c>
      <c r="G15" s="8" t="s">
        <v>11</v>
      </c>
      <c r="H15" s="8" t="s">
        <v>12</v>
      </c>
      <c r="I15" s="5" t="s">
        <v>104</v>
      </c>
    </row>
    <row r="16" spans="1:9" x14ac:dyDescent="0.4">
      <c r="A16" s="7" t="s">
        <v>37</v>
      </c>
      <c r="B16" s="7" t="s">
        <v>38</v>
      </c>
      <c r="C16" s="8">
        <v>5</v>
      </c>
      <c r="D16" s="9">
        <v>1.4E-2</v>
      </c>
      <c r="E16" s="8" t="s">
        <v>10</v>
      </c>
      <c r="F16" s="10">
        <f t="shared" si="0"/>
        <v>7.0000000000000007E-2</v>
      </c>
      <c r="G16" s="8" t="s">
        <v>11</v>
      </c>
      <c r="H16" s="8" t="s">
        <v>12</v>
      </c>
      <c r="I16" s="5" t="s">
        <v>105</v>
      </c>
    </row>
    <row r="17" spans="1:9" x14ac:dyDescent="0.4">
      <c r="A17" s="7" t="s">
        <v>39</v>
      </c>
      <c r="B17" s="7" t="s">
        <v>40</v>
      </c>
      <c r="C17" s="8">
        <v>5</v>
      </c>
      <c r="D17" s="9">
        <v>1.44E-2</v>
      </c>
      <c r="E17" s="8" t="s">
        <v>10</v>
      </c>
      <c r="F17" s="10">
        <f t="shared" si="0"/>
        <v>7.1999999999999995E-2</v>
      </c>
      <c r="G17" s="8" t="s">
        <v>11</v>
      </c>
      <c r="H17" s="8" t="s">
        <v>12</v>
      </c>
      <c r="I17" s="5" t="s">
        <v>106</v>
      </c>
    </row>
    <row r="18" spans="1:9" x14ac:dyDescent="0.4">
      <c r="A18" s="7" t="s">
        <v>41</v>
      </c>
      <c r="B18" s="7" t="s">
        <v>42</v>
      </c>
      <c r="C18" s="8">
        <v>3</v>
      </c>
      <c r="D18" s="9">
        <v>1.44E-2</v>
      </c>
      <c r="E18" s="8" t="s">
        <v>10</v>
      </c>
      <c r="F18" s="10">
        <f t="shared" si="0"/>
        <v>4.3200000000000002E-2</v>
      </c>
      <c r="G18" s="8" t="s">
        <v>11</v>
      </c>
      <c r="H18" s="8" t="s">
        <v>12</v>
      </c>
      <c r="I18" s="5" t="s">
        <v>106</v>
      </c>
    </row>
    <row r="19" spans="1:9" x14ac:dyDescent="0.4">
      <c r="A19" s="7" t="s">
        <v>43</v>
      </c>
      <c r="B19" s="7" t="s">
        <v>44</v>
      </c>
      <c r="C19" s="8">
        <v>2</v>
      </c>
      <c r="D19" s="9">
        <v>0.16</v>
      </c>
      <c r="E19" s="8" t="s">
        <v>10</v>
      </c>
      <c r="F19" s="10">
        <f t="shared" si="0"/>
        <v>0.32</v>
      </c>
      <c r="G19" s="8" t="s">
        <v>11</v>
      </c>
      <c r="H19" s="8" t="s">
        <v>12</v>
      </c>
      <c r="I19" s="5" t="s">
        <v>107</v>
      </c>
    </row>
    <row r="20" spans="1:9" x14ac:dyDescent="0.4">
      <c r="A20" s="7" t="s">
        <v>45</v>
      </c>
      <c r="B20" s="7" t="s">
        <v>46</v>
      </c>
      <c r="C20" s="8">
        <v>1</v>
      </c>
      <c r="D20" s="9">
        <v>0.08</v>
      </c>
      <c r="E20" s="8" t="s">
        <v>10</v>
      </c>
      <c r="F20" s="10">
        <f t="shared" si="0"/>
        <v>0.08</v>
      </c>
      <c r="G20" s="8" t="s">
        <v>11</v>
      </c>
      <c r="H20" s="8" t="s">
        <v>12</v>
      </c>
      <c r="I20" s="5" t="s">
        <v>108</v>
      </c>
    </row>
    <row r="21" spans="1:9" x14ac:dyDescent="0.4">
      <c r="A21" s="7" t="s">
        <v>47</v>
      </c>
      <c r="B21" s="7" t="s">
        <v>48</v>
      </c>
      <c r="C21" s="8">
        <v>1</v>
      </c>
      <c r="D21" s="9">
        <v>0.12</v>
      </c>
      <c r="E21" s="8" t="s">
        <v>10</v>
      </c>
      <c r="F21" s="10">
        <f t="shared" si="0"/>
        <v>0.12</v>
      </c>
      <c r="G21" s="8" t="s">
        <v>11</v>
      </c>
      <c r="H21" s="8" t="s">
        <v>12</v>
      </c>
      <c r="I21" s="5" t="s">
        <v>109</v>
      </c>
    </row>
    <row r="22" spans="1:9" x14ac:dyDescent="0.4">
      <c r="A22" s="7" t="s">
        <v>49</v>
      </c>
      <c r="B22" s="7" t="s">
        <v>50</v>
      </c>
      <c r="C22" s="8">
        <v>4</v>
      </c>
      <c r="D22" s="9">
        <v>8.5999999999999993E-2</v>
      </c>
      <c r="E22" s="8" t="s">
        <v>10</v>
      </c>
      <c r="F22" s="10">
        <f t="shared" si="0"/>
        <v>0.34399999999999997</v>
      </c>
      <c r="G22" s="8" t="s">
        <v>11</v>
      </c>
      <c r="H22" s="8" t="s">
        <v>12</v>
      </c>
      <c r="I22" s="5" t="s">
        <v>110</v>
      </c>
    </row>
    <row r="23" spans="1:9" x14ac:dyDescent="0.4">
      <c r="A23" s="7" t="s">
        <v>51</v>
      </c>
      <c r="B23" s="7" t="s">
        <v>52</v>
      </c>
      <c r="C23" s="8">
        <v>1</v>
      </c>
      <c r="D23" s="9">
        <v>0.08</v>
      </c>
      <c r="E23" s="8" t="s">
        <v>10</v>
      </c>
      <c r="F23" s="10">
        <f t="shared" si="0"/>
        <v>0.08</v>
      </c>
      <c r="G23" s="8" t="s">
        <v>11</v>
      </c>
      <c r="H23" s="8" t="s">
        <v>12</v>
      </c>
      <c r="I23" s="5" t="s">
        <v>111</v>
      </c>
    </row>
    <row r="24" spans="1:9" x14ac:dyDescent="0.4">
      <c r="A24" s="7" t="s">
        <v>53</v>
      </c>
      <c r="B24" s="7" t="s">
        <v>54</v>
      </c>
      <c r="C24" s="8">
        <v>2</v>
      </c>
      <c r="D24" s="9">
        <v>1.0269999999999999</v>
      </c>
      <c r="E24" s="8" t="s">
        <v>10</v>
      </c>
      <c r="F24" s="10">
        <f t="shared" si="0"/>
        <v>2.0539999999999998</v>
      </c>
      <c r="G24" s="8" t="s">
        <v>11</v>
      </c>
      <c r="H24" s="8" t="s">
        <v>12</v>
      </c>
      <c r="I24" s="5" t="s">
        <v>112</v>
      </c>
    </row>
    <row r="25" spans="1:9" x14ac:dyDescent="0.4">
      <c r="A25" s="7" t="s">
        <v>55</v>
      </c>
      <c r="B25" s="7" t="s">
        <v>56</v>
      </c>
      <c r="C25" s="8">
        <v>1</v>
      </c>
      <c r="D25" s="9">
        <v>7.14</v>
      </c>
      <c r="E25" s="8" t="s">
        <v>57</v>
      </c>
      <c r="F25" s="10">
        <f t="shared" si="0"/>
        <v>7.14</v>
      </c>
      <c r="G25" s="8" t="s">
        <v>58</v>
      </c>
      <c r="H25" s="8" t="s">
        <v>12</v>
      </c>
      <c r="I25" s="5" t="s">
        <v>113</v>
      </c>
    </row>
    <row r="26" spans="1:9" x14ac:dyDescent="0.4">
      <c r="A26" s="7" t="s">
        <v>59</v>
      </c>
      <c r="B26" s="7" t="s">
        <v>60</v>
      </c>
      <c r="C26" s="8">
        <v>1</v>
      </c>
      <c r="D26" s="9">
        <v>3.9</v>
      </c>
      <c r="E26" s="8" t="s">
        <v>10</v>
      </c>
      <c r="F26" s="10">
        <f t="shared" si="0"/>
        <v>3.9</v>
      </c>
      <c r="G26" s="8" t="s">
        <v>11</v>
      </c>
      <c r="H26" s="8" t="s">
        <v>12</v>
      </c>
      <c r="I26" s="5" t="s">
        <v>114</v>
      </c>
    </row>
    <row r="27" spans="1:9" x14ac:dyDescent="0.4">
      <c r="A27" s="7" t="s">
        <v>61</v>
      </c>
      <c r="B27" s="7" t="s">
        <v>62</v>
      </c>
      <c r="C27" s="8">
        <v>1</v>
      </c>
      <c r="D27" s="9">
        <v>0.84</v>
      </c>
      <c r="E27" s="8" t="s">
        <v>10</v>
      </c>
      <c r="F27" s="10">
        <f t="shared" si="0"/>
        <v>0.84</v>
      </c>
      <c r="G27" s="8" t="s">
        <v>11</v>
      </c>
      <c r="H27" s="8" t="s">
        <v>12</v>
      </c>
      <c r="I27" s="5" t="s">
        <v>115</v>
      </c>
    </row>
    <row r="28" spans="1:9" x14ac:dyDescent="0.4">
      <c r="A28" s="7" t="s">
        <v>63</v>
      </c>
      <c r="B28" s="7" t="s">
        <v>64</v>
      </c>
      <c r="C28" s="8">
        <v>1</v>
      </c>
      <c r="D28" s="9">
        <v>20.04</v>
      </c>
      <c r="E28" s="8" t="s">
        <v>57</v>
      </c>
      <c r="F28" s="10">
        <f t="shared" si="0"/>
        <v>20.04</v>
      </c>
      <c r="G28" s="8" t="s">
        <v>65</v>
      </c>
      <c r="H28" s="8" t="s">
        <v>12</v>
      </c>
      <c r="I28" s="5" t="s">
        <v>116</v>
      </c>
    </row>
    <row r="29" spans="1:9" x14ac:dyDescent="0.4">
      <c r="A29" s="7" t="s">
        <v>66</v>
      </c>
      <c r="B29" s="7" t="s">
        <v>67</v>
      </c>
      <c r="C29" s="8">
        <v>1</v>
      </c>
      <c r="D29" s="9">
        <v>1.82</v>
      </c>
      <c r="E29" s="8" t="s">
        <v>10</v>
      </c>
      <c r="F29" s="10">
        <f t="shared" si="0"/>
        <v>1.82</v>
      </c>
      <c r="G29" s="8" t="s">
        <v>68</v>
      </c>
      <c r="H29" s="8" t="s">
        <v>12</v>
      </c>
      <c r="I29" s="5" t="s">
        <v>117</v>
      </c>
    </row>
    <row r="30" spans="1:9" x14ac:dyDescent="0.4">
      <c r="A30" s="7" t="s">
        <v>69</v>
      </c>
      <c r="B30" s="7" t="s">
        <v>70</v>
      </c>
      <c r="C30" s="8">
        <v>1</v>
      </c>
      <c r="D30" s="9">
        <v>0.40600000000000003</v>
      </c>
      <c r="E30" s="8" t="s">
        <v>10</v>
      </c>
      <c r="F30" s="10">
        <f t="shared" si="0"/>
        <v>0.40600000000000003</v>
      </c>
      <c r="G30" s="8" t="s">
        <v>11</v>
      </c>
      <c r="H30" s="8" t="s">
        <v>12</v>
      </c>
      <c r="I30" s="5" t="s">
        <v>118</v>
      </c>
    </row>
    <row r="31" spans="1:9" x14ac:dyDescent="0.4">
      <c r="A31" s="7" t="s">
        <v>71</v>
      </c>
      <c r="B31" s="7" t="s">
        <v>72</v>
      </c>
      <c r="C31" s="8">
        <v>2</v>
      </c>
      <c r="D31" s="9">
        <v>1.0349999999999999</v>
      </c>
      <c r="E31" s="8" t="s">
        <v>10</v>
      </c>
      <c r="F31" s="10">
        <f t="shared" si="0"/>
        <v>2.0699999999999998</v>
      </c>
      <c r="G31" s="8" t="s">
        <v>11</v>
      </c>
      <c r="H31" s="8" t="s">
        <v>12</v>
      </c>
      <c r="I31" s="5" t="s">
        <v>119</v>
      </c>
    </row>
    <row r="32" spans="1:9" x14ac:dyDescent="0.4">
      <c r="A32" s="7" t="s">
        <v>73</v>
      </c>
      <c r="B32" s="7" t="s">
        <v>74</v>
      </c>
      <c r="C32" s="8">
        <v>1</v>
      </c>
      <c r="D32" s="9">
        <v>1.64</v>
      </c>
      <c r="E32" s="8" t="s">
        <v>10</v>
      </c>
      <c r="F32" s="10">
        <f t="shared" si="0"/>
        <v>1.64</v>
      </c>
      <c r="G32" s="8" t="s">
        <v>11</v>
      </c>
      <c r="H32" s="8" t="s">
        <v>12</v>
      </c>
      <c r="I32" s="5" t="s">
        <v>120</v>
      </c>
    </row>
    <row r="33" spans="1:9" x14ac:dyDescent="0.4">
      <c r="A33" s="7" t="s">
        <v>75</v>
      </c>
      <c r="B33" s="7" t="s">
        <v>76</v>
      </c>
      <c r="C33" s="8">
        <v>1</v>
      </c>
      <c r="D33" s="9">
        <v>9.9000000000000005E-2</v>
      </c>
      <c r="E33" s="8" t="s">
        <v>10</v>
      </c>
      <c r="F33" s="10">
        <f t="shared" si="0"/>
        <v>9.9000000000000005E-2</v>
      </c>
      <c r="G33" s="8" t="s">
        <v>11</v>
      </c>
      <c r="H33" s="8" t="s">
        <v>12</v>
      </c>
      <c r="I33" s="5" t="s">
        <v>121</v>
      </c>
    </row>
    <row r="34" spans="1:9" x14ac:dyDescent="0.4">
      <c r="A34" s="7" t="s">
        <v>77</v>
      </c>
      <c r="B34" s="7" t="s">
        <v>78</v>
      </c>
      <c r="C34" s="8">
        <v>4</v>
      </c>
      <c r="D34" s="9">
        <v>7.9000000000000001E-2</v>
      </c>
      <c r="E34" s="8" t="s">
        <v>10</v>
      </c>
      <c r="F34" s="10">
        <f t="shared" si="0"/>
        <v>0.316</v>
      </c>
      <c r="G34" s="8" t="s">
        <v>11</v>
      </c>
      <c r="H34" s="8" t="s">
        <v>12</v>
      </c>
      <c r="I34" s="5" t="s">
        <v>122</v>
      </c>
    </row>
    <row r="35" spans="1:9" x14ac:dyDescent="0.4">
      <c r="A35" s="7" t="s">
        <v>79</v>
      </c>
      <c r="B35" s="7" t="s">
        <v>80</v>
      </c>
      <c r="C35" s="8">
        <v>1</v>
      </c>
      <c r="D35" s="9">
        <v>0.157</v>
      </c>
      <c r="E35" s="8" t="s">
        <v>10</v>
      </c>
      <c r="F35" s="10">
        <f t="shared" si="0"/>
        <v>0.157</v>
      </c>
      <c r="G35" s="8" t="s">
        <v>11</v>
      </c>
      <c r="H35" s="8" t="s">
        <v>12</v>
      </c>
      <c r="I35" s="5" t="s">
        <v>123</v>
      </c>
    </row>
    <row r="36" spans="1:9" x14ac:dyDescent="0.4">
      <c r="A36" s="7" t="s">
        <v>81</v>
      </c>
      <c r="B36" s="7" t="s">
        <v>82</v>
      </c>
      <c r="C36" s="8">
        <v>1</v>
      </c>
      <c r="D36" s="9">
        <v>6.7000000000000004E-2</v>
      </c>
      <c r="E36" s="8" t="s">
        <v>10</v>
      </c>
      <c r="F36" s="10">
        <f t="shared" si="0"/>
        <v>6.7000000000000004E-2</v>
      </c>
      <c r="G36" s="8" t="s">
        <v>11</v>
      </c>
      <c r="H36" s="8" t="s">
        <v>12</v>
      </c>
      <c r="I36" s="5" t="s">
        <v>124</v>
      </c>
    </row>
    <row r="37" spans="1:9" x14ac:dyDescent="0.4">
      <c r="A37" s="7" t="s">
        <v>83</v>
      </c>
      <c r="B37" s="7" t="s">
        <v>84</v>
      </c>
      <c r="C37" s="8">
        <v>2</v>
      </c>
      <c r="D37" s="9">
        <v>0.114</v>
      </c>
      <c r="E37" s="8" t="s">
        <v>10</v>
      </c>
      <c r="F37" s="10">
        <f t="shared" si="0"/>
        <v>0.22800000000000001</v>
      </c>
      <c r="G37" s="8" t="s">
        <v>11</v>
      </c>
      <c r="H37" s="8" t="s">
        <v>12</v>
      </c>
      <c r="I37" s="5" t="s">
        <v>125</v>
      </c>
    </row>
    <row r="38" spans="1:9" x14ac:dyDescent="0.4">
      <c r="A38" s="7" t="s">
        <v>85</v>
      </c>
      <c r="B38" s="7" t="s">
        <v>86</v>
      </c>
      <c r="C38" s="8">
        <v>2</v>
      </c>
      <c r="D38" s="9">
        <v>0.29899999999999999</v>
      </c>
      <c r="E38" s="8" t="s">
        <v>10</v>
      </c>
      <c r="F38" s="10">
        <f t="shared" si="0"/>
        <v>0.59799999999999998</v>
      </c>
      <c r="G38" s="8" t="s">
        <v>11</v>
      </c>
      <c r="H38" s="8" t="s">
        <v>12</v>
      </c>
      <c r="I38" s="5" t="s">
        <v>126</v>
      </c>
    </row>
    <row r="39" spans="1:9" x14ac:dyDescent="0.4">
      <c r="A39" s="7" t="s">
        <v>87</v>
      </c>
      <c r="B39" s="7" t="s">
        <v>88</v>
      </c>
      <c r="C39" s="8">
        <v>1</v>
      </c>
      <c r="D39" s="9">
        <v>0.39200000000000002</v>
      </c>
      <c r="E39" s="8" t="s">
        <v>10</v>
      </c>
      <c r="F39" s="10">
        <f t="shared" si="0"/>
        <v>0.39200000000000002</v>
      </c>
      <c r="G39" s="8" t="s">
        <v>11</v>
      </c>
      <c r="H39" s="8" t="s">
        <v>12</v>
      </c>
      <c r="I39" s="5" t="s">
        <v>127</v>
      </c>
    </row>
    <row r="41" spans="1:9" x14ac:dyDescent="0.4">
      <c r="B41" s="1" t="s">
        <v>89</v>
      </c>
      <c r="F41" s="2">
        <f>SUMIF(E3:E39,"EUR",F3:F39)</f>
        <v>20.962200000000003</v>
      </c>
    </row>
    <row r="42" spans="1:9" x14ac:dyDescent="0.4">
      <c r="B42" s="1" t="s">
        <v>90</v>
      </c>
      <c r="F42" s="2">
        <f>SUMIF(E3:E39,"USD",F3:F39)</f>
        <v>27.18</v>
      </c>
    </row>
  </sheetData>
  <hyperlinks>
    <hyperlink ref="I26" r:id="rId1" xr:uid="{143D22AF-81D1-4411-92F5-CCE3D27EAD35}"/>
    <hyperlink ref="I27" r:id="rId2" xr:uid="{55ADD3CD-E859-4C28-B8FA-86817FF0F84D}"/>
    <hyperlink ref="I3" r:id="rId3" xr:uid="{B76C100B-B9B9-488D-900C-2D841C5DCB6C}"/>
    <hyperlink ref="I4" r:id="rId4" xr:uid="{F4F8F395-E344-4998-A2C6-ACCCBC36589A}"/>
    <hyperlink ref="I5" r:id="rId5" xr:uid="{7550B35D-F2ED-4803-BFE3-794D7EFD4624}"/>
    <hyperlink ref="I6" r:id="rId6" xr:uid="{395070CD-81BB-4C67-8BCD-16E8A02B7243}"/>
    <hyperlink ref="I7" r:id="rId7" xr:uid="{8FB50673-E5F6-4133-901C-748108A4270A}"/>
    <hyperlink ref="I8" r:id="rId8" xr:uid="{61783551-1E4E-46E1-88AC-1B35B6518A53}"/>
    <hyperlink ref="I9" r:id="rId9" xr:uid="{41C26B57-57D4-42B5-B25E-792268C76E71}"/>
    <hyperlink ref="I10" r:id="rId10" xr:uid="{B56FF3DE-9222-4D0E-9B74-D3D7CF3258E4}"/>
    <hyperlink ref="I11" r:id="rId11" xr:uid="{FA3C431F-C330-4E86-9E6B-CF62B2E8E2B1}"/>
    <hyperlink ref="I12" r:id="rId12" xr:uid="{8BE953B5-4A2B-43EA-80C1-5685C5D4C65B}"/>
    <hyperlink ref="I13" r:id="rId13" xr:uid="{FCC3B4BB-DEED-4772-AC49-74A75B807BA1}"/>
    <hyperlink ref="I14" r:id="rId14" xr:uid="{CD8EEB0E-9FEE-4A78-871A-13E9E1556F7F}"/>
    <hyperlink ref="I15" r:id="rId15" xr:uid="{1A6A55F6-F3FF-4204-8194-2C56D8D38D19}"/>
    <hyperlink ref="I16" r:id="rId16" xr:uid="{DCF087E4-D679-4454-B6D6-73A632C2630E}"/>
    <hyperlink ref="I17" r:id="rId17" xr:uid="{C900564E-F750-4BF2-BC96-2570082007EB}"/>
    <hyperlink ref="I18" r:id="rId18" xr:uid="{5D1B05A4-B7A9-46FA-8A49-3C5C235299E2}"/>
    <hyperlink ref="I19" r:id="rId19" xr:uid="{42D8B06B-DF00-4976-8CAB-4CE8102ABD0B}"/>
    <hyperlink ref="I20" r:id="rId20" xr:uid="{B39D1747-EDDC-4C72-954A-42CFE63CB0D0}"/>
    <hyperlink ref="I21" r:id="rId21" xr:uid="{AEE2A5D3-B14D-4BE0-BBA3-40C50CC6B88B}"/>
    <hyperlink ref="I22" r:id="rId22" xr:uid="{6C98B0FC-8AF2-448B-AD7B-EC31C4428CF0}"/>
    <hyperlink ref="I23" r:id="rId23" xr:uid="{8BCB5766-819C-4428-8B00-786F24AE3E3F}"/>
    <hyperlink ref="I24" r:id="rId24" xr:uid="{28A2DF95-E36D-4F4D-A732-D072C33EFDE5}"/>
    <hyperlink ref="I25" r:id="rId25" xr:uid="{E607E707-B225-4073-B2EE-5B2A981DFFD3}"/>
    <hyperlink ref="I28" r:id="rId26" xr:uid="{5A94A093-E466-41B3-81FD-E03E261C6DC7}"/>
    <hyperlink ref="I29" r:id="rId27" xr:uid="{F3150A52-128D-4C8D-847A-560BA937C4BD}"/>
    <hyperlink ref="I30" r:id="rId28" xr:uid="{2863BA30-F6A3-4AE8-A56A-F9C752F9F33F}"/>
    <hyperlink ref="I31" r:id="rId29" xr:uid="{D87E7E9D-FC22-48E5-9CE5-07D15332CF8F}"/>
    <hyperlink ref="I32" r:id="rId30" xr:uid="{DF3A6D09-8E07-4FEF-890C-F3C4A605CC1D}"/>
    <hyperlink ref="I33" r:id="rId31" xr:uid="{A04D9F75-0844-424E-9A2F-D60C608C00B8}"/>
    <hyperlink ref="I34" r:id="rId32" xr:uid="{ABF525E6-5C7E-4B75-8FA7-3F3086D0130D}"/>
    <hyperlink ref="I35" r:id="rId33" xr:uid="{4E72387E-E2E8-4723-8A06-36E16F067180}"/>
    <hyperlink ref="I36" r:id="rId34" xr:uid="{BE8668F8-D190-46DA-B408-89E9E54BFA55}"/>
    <hyperlink ref="I37" r:id="rId35" xr:uid="{7F0852CD-71F1-48F9-9B1C-DA4BD5238222}"/>
    <hyperlink ref="I38" r:id="rId36" xr:uid="{47CD52BE-D45B-4E85-92CE-C5521A225141}"/>
    <hyperlink ref="I39" r:id="rId37" xr:uid="{30E4A20E-7BED-4C9B-A097-CAD096FF7347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TU-Pseudonym 17471386163938331464157264054</cp:lastModifiedBy>
  <cp:revision>0</cp:revision>
  <dcterms:created xsi:type="dcterms:W3CDTF">2026-08-31T07:32:22Z</dcterms:created>
  <dcterms:modified xsi:type="dcterms:W3CDTF">2026-08-31T08:15:33Z</dcterms:modified>
  <dc:language>en-US</dc:language>
</cp:coreProperties>
</file>